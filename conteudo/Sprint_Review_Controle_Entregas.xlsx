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sumo da Sprint" sheetId="1" state="visible" r:id="rId3"/>
    <sheet name="Funcionalidades Entregues" sheetId="2" state="visible" r:id="rId4"/>
    <sheet name="Próxima Sprint" sheetId="3" state="visible" r:id="rId5"/>
    <sheet name="Pendências e Decisões" sheetId="4" state="visible" r:id="rId6"/>
    <sheet name="Evolução do Projeto" sheetId="5" state="visible" r:id="rId7"/>
    <sheet name="Riscos" sheetId="6" state="visible" r:id="rId8"/>
    <sheet name="Fluxos Bizagi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<sst xmlns="http://schemas.openxmlformats.org/spreadsheetml/2006/main" count="618" uniqueCount="290">
  <si>
    <t xml:space="preserve">RESUMO GERAL DAS SPRINTS — SISTEMA DE GESTÃO DE CONTRATOS</t>
  </si>
  <si>
    <t xml:space="preserve">Visão executiva das 4 primeiras sprints do projeto</t>
  </si>
  <si>
    <t xml:space="preserve">SPRINTS NO RESUMO</t>
  </si>
  <si>
    <t xml:space="preserve">ITENS PLANEJADOS</t>
  </si>
  <si>
    <t xml:space="preserve">ITENS ENTREGUES (REG.)</t>
  </si>
  <si>
    <t xml:space="preserve">ADERÊNCIA REGISTRADA</t>
  </si>
  <si>
    <t xml:space="preserve">DESEMPENHO POR SPRINT</t>
  </si>
  <si>
    <t xml:space="preserve">Sprint</t>
  </si>
  <si>
    <t xml:space="preserve">Planejados</t>
  </si>
  <si>
    <t xml:space="preserve">Concluídos</t>
  </si>
  <si>
    <t xml:space="preserve">% Concluído</t>
  </si>
  <si>
    <t xml:space="preserve">Status</t>
  </si>
  <si>
    <t xml:space="preserve">Período</t>
  </si>
  <si>
    <t xml:space="preserve">OBSERVAÇÃO DE CONTROLE</t>
  </si>
  <si>
    <t xml:space="preserve">HISTÓRICO DE FUNCIONALIDADES ENTREGUES</t>
  </si>
  <si>
    <t xml:space="preserve">RESUMO DAS ENTREGAS</t>
  </si>
  <si>
    <t xml:space="preserve">Base acumulada — adicione as entregas de cada nova sprint nas linhas abaixo.</t>
  </si>
  <si>
    <t xml:space="preserve">Indicador</t>
  </si>
  <si>
    <t xml:space="preserve">Valor</t>
  </si>
  <si>
    <t xml:space="preserve">Itens registrados</t>
  </si>
  <si>
    <t xml:space="preserve">ID</t>
  </si>
  <si>
    <t xml:space="preserve">Funcionalidade</t>
  </si>
  <si>
    <t xml:space="preserve">Descrição da entrega</t>
  </si>
  <si>
    <t xml:space="preserve">Responsável</t>
  </si>
  <si>
    <t xml:space="preserve">Observações</t>
  </si>
  <si>
    <t xml:space="preserve">Itens entregues</t>
  </si>
  <si>
    <t xml:space="preserve">Sprint 0 - 13.07.2026 a 24.07.2026</t>
  </si>
  <si>
    <t xml:space="preserve">Arquitetura</t>
  </si>
  <si>
    <t xml:space="preserve">Criar estrutura dos projetos, backend e frontend.</t>
  </si>
  <si>
    <t xml:space="preserve">Edvaldo </t>
  </si>
  <si>
    <t xml:space="preserve">Feito</t>
  </si>
  <si>
    <t xml:space="preserve">Prototipo</t>
  </si>
  <si>
    <t xml:space="preserve">Desenvolvido protótipo navegável usando o framework Angular20, cujo código html será reaproveitado no frontend.</t>
  </si>
  <si>
    <t xml:space="preserve">Qtd. registrada</t>
  </si>
  <si>
    <t xml:space="preserve">Kickoff</t>
  </si>
  <si>
    <t xml:space="preserve">Apresentação do KickOff.</t>
  </si>
  <si>
    <t xml:space="preserve">Henrique</t>
  </si>
  <si>
    <t xml:space="preserve">Sprint 1</t>
  </si>
  <si>
    <t xml:space="preserve">Sprint 1 - 27.07.2026 a 07.08.2026</t>
  </si>
  <si>
    <t xml:space="preserve">Historia de Usuário referente a funcionalidade Manter Usuário.</t>
  </si>
  <si>
    <t xml:space="preserve">BDD- Definir o comportamento da funcionalidade em questão e ser reaproveitado na geração de testes automatizados através do framework Cucumber.</t>
  </si>
  <si>
    <t xml:space="preserve">Edvaldo</t>
  </si>
  <si>
    <t xml:space="preserve">Sprint 2</t>
  </si>
  <si>
    <t xml:space="preserve">BackEnd referente a funcionalidade Manter Usuário.</t>
  </si>
  <si>
    <t xml:space="preserve">Desenvolvimento de todas as camadas da API Java Spring Boot3. Controller, Service, Repository, DTOs, Exceptions e Validações.</t>
  </si>
  <si>
    <t xml:space="preserve">Sprint 3</t>
  </si>
  <si>
    <t xml:space="preserve">FrontEnd referente a funcionalidade Manter Usuário.</t>
  </si>
  <si>
    <t xml:space="preserve">Desenvolvimento da CRUD(Create Usuário, Ready Usuario, Update Usuario, Delete e Inative Usuario) referente a funcionalidade em questão.</t>
  </si>
  <si>
    <t xml:space="preserve">Sprint 4</t>
  </si>
  <si>
    <t xml:space="preserve">Historia de Usuário referente a funcionalidade Permissões do Usuário.</t>
  </si>
  <si>
    <t xml:space="preserve">BackEnd referente a funcionalidade Login do Usuário.</t>
  </si>
  <si>
    <t xml:space="preserve">FrontEnd referente a funcionalidade Login do Usuário.</t>
  </si>
  <si>
    <t xml:space="preserve">BackEnd referente a funcionalidade Permissões do Usuário.</t>
  </si>
  <si>
    <t xml:space="preserve">FrontEnd referente a funcionalidade Permissões do Usuário.</t>
  </si>
  <si>
    <t xml:space="preserve">2110</t>
  </si>
  <si>
    <t xml:space="preserve">Gestao de contratos</t>
  </si>
  <si>
    <t xml:space="preserve">Refinamento de requisitos</t>
  </si>
  <si>
    <t xml:space="preserve">Sprint 2 - 10.08.2026 a 21.08.2026</t>
  </si>
  <si>
    <t xml:space="preserve">1964</t>
  </si>
  <si>
    <t xml:space="preserve">Teste automatizado</t>
  </si>
  <si>
    <t xml:space="preserve">Usuario</t>
  </si>
  <si>
    <t xml:space="preserve">2112</t>
  </si>
  <si>
    <t xml:space="preserve">Projeto de testes</t>
  </si>
  <si>
    <t xml:space="preserve">Criar estrutura de testes automatizados Cypress – TR-Novo-Sistema-Contratos </t>
  </si>
  <si>
    <t xml:space="preserve">1970</t>
  </si>
  <si>
    <t xml:space="preserve">Permissões de usuários.</t>
  </si>
  <si>
    <t xml:space="preserve">1980</t>
  </si>
  <si>
    <t xml:space="preserve">User story</t>
  </si>
  <si>
    <t xml:space="preserve">Documento de requisitos Produto</t>
  </si>
  <si>
    <t xml:space="preserve">1981</t>
  </si>
  <si>
    <t xml:space="preserve">BackEnd referente a funcionalidade manutenção de Produto.</t>
  </si>
  <si>
    <t xml:space="preserve">1982</t>
  </si>
  <si>
    <t xml:space="preserve">FrontEnd referente a funcionalidade manutenção de Produto.</t>
  </si>
  <si>
    <t xml:space="preserve">Desenvolvimento da CRUD(Create Produto, Ready Produto, Update Produto, Delete Produto) referente a funcionalidade em questão.</t>
  </si>
  <si>
    <t xml:space="preserve">1983</t>
  </si>
  <si>
    <t xml:space="preserve">Teste automatizado funcionalidade de produto.</t>
  </si>
  <si>
    <t xml:space="preserve">2133</t>
  </si>
  <si>
    <t xml:space="preserve">Afinamento de requisitos gestão de contratos.</t>
  </si>
  <si>
    <t xml:space="preserve">1985</t>
  </si>
  <si>
    <t xml:space="preserve">Documento de requisitos Versões de Produto</t>
  </si>
  <si>
    <t xml:space="preserve">1986</t>
  </si>
  <si>
    <t xml:space="preserve">BackEnd referente a funcionalidade manutenção de Versões de Produto.</t>
  </si>
  <si>
    <t xml:space="preserve">1987</t>
  </si>
  <si>
    <t xml:space="preserve">FrontEnd referente a funcionalidade manutenção de Versões Produto.</t>
  </si>
  <si>
    <t xml:space="preserve">Desenvolvimento da CRUD(Create Versões do Produto, Ready Versões do Produto, Update Versões do Produto, Delete Versões do Produto) referente a funcionalidade em questão.</t>
  </si>
  <si>
    <t xml:space="preserve">1988</t>
  </si>
  <si>
    <t xml:space="preserve">Teste automatizado funcionalidade de versões do produto.</t>
  </si>
  <si>
    <t xml:space="preserve">1990</t>
  </si>
  <si>
    <t xml:space="preserve">User Story</t>
  </si>
  <si>
    <t xml:space="preserve">Documento de requisitos de Grupos.</t>
  </si>
  <si>
    <t xml:space="preserve">1991</t>
  </si>
  <si>
    <t xml:space="preserve">BackEnd referente a funcionalidade manutenção de Grupos.</t>
  </si>
  <si>
    <t xml:space="preserve">1992</t>
  </si>
  <si>
    <t xml:space="preserve">FrontEnd referente a funcionalidade manutenção de Grupos.</t>
  </si>
  <si>
    <t xml:space="preserve">Desenvolvimento da CRUD(Create Grupos, Ready Grupos, Update Grupos, Delete Grupos) referente a funcionalidade em questão.</t>
  </si>
  <si>
    <t xml:space="preserve">1993</t>
  </si>
  <si>
    <t xml:space="preserve">Teste automatizado funcionalidade de Grupos.</t>
  </si>
  <si>
    <t xml:space="preserve">Sprint 3 - 24.08.2026 a 04.09.2026</t>
  </si>
  <si>
    <t xml:space="preserve">1998</t>
  </si>
  <si>
    <t xml:space="preserve">Documento de requisitos de Estados.</t>
  </si>
  <si>
    <t xml:space="preserve">1999</t>
  </si>
  <si>
    <t xml:space="preserve">BackEnd referente a funcionalidade manutenção de Estados.</t>
  </si>
  <si>
    <t xml:space="preserve">2000</t>
  </si>
  <si>
    <t xml:space="preserve">FrontEnd referente a funcionalidade manutenção de Estados.</t>
  </si>
  <si>
    <t xml:space="preserve">Desenvolvimento da CRUD(Create Estados, Ready Estados, Update Estados, Delete Estados) referente a funcionalidade em questão.</t>
  </si>
  <si>
    <t xml:space="preserve">2001</t>
  </si>
  <si>
    <t xml:space="preserve">Teste automatizado funcionalidade de Estados. </t>
  </si>
  <si>
    <t xml:space="preserve">2003</t>
  </si>
  <si>
    <t xml:space="preserve">Documento de requisitos de Canais.</t>
  </si>
  <si>
    <t xml:space="preserve">2004</t>
  </si>
  <si>
    <t xml:space="preserve">BackEnd referente a funcionalidade manutenção de Canais.</t>
  </si>
  <si>
    <t xml:space="preserve">2005</t>
  </si>
  <si>
    <t xml:space="preserve">FrontEnd referente a funcionalidade manutenção de Canais.</t>
  </si>
  <si>
    <t xml:space="preserve">Desenvolvimento da CRUD(Create Canais, Ready Canais, Update Canais, Delete Canais) referente a funcionalidade em questão.</t>
  </si>
  <si>
    <t xml:space="preserve">2006</t>
  </si>
  <si>
    <t xml:space="preserve">Teste automatizado funcionalidade de Canais.</t>
  </si>
  <si>
    <t xml:space="preserve">2008</t>
  </si>
  <si>
    <t xml:space="preserve">Documento de requisitos Cliente.</t>
  </si>
  <si>
    <t xml:space="preserve">2009</t>
  </si>
  <si>
    <t xml:space="preserve">BackEnd referente a funcionalidade manutenção de Clientes.</t>
  </si>
  <si>
    <t xml:space="preserve">2010</t>
  </si>
  <si>
    <t xml:space="preserve">FrontEnd referente a funcionalidade manutenção de Clientes.</t>
  </si>
  <si>
    <t xml:space="preserve">Desenvolvimento da CRUD(Create Clientes, Ready Clientes, Update Clientes, Delete Clientes) referente a funcionalidade em questão.</t>
  </si>
  <si>
    <t xml:space="preserve">2011</t>
  </si>
  <si>
    <t xml:space="preserve">Teste automatizado funcionalidade de Clientes</t>
  </si>
  <si>
    <t xml:space="preserve">Sprint 4 - 08.09.2026 a 18.09.2026</t>
  </si>
  <si>
    <t xml:space="preserve">Documento de requisitos CNAE</t>
  </si>
  <si>
    <t xml:space="preserve">BackEnd referente a funcionalidade manutenção de CNAE.</t>
  </si>
  <si>
    <t xml:space="preserve">FrontEnd referente a funcionalidade manutenção de CNAE.</t>
  </si>
  <si>
    <t xml:space="preserve">Desenvolvimento da CRUD(Create CNAE, Ready CNAE, Update CNAE, Delete CNAE) referente a funcionalidade em questão.</t>
  </si>
  <si>
    <t xml:space="preserve">Documento de requisitos Industrias</t>
  </si>
  <si>
    <t xml:space="preserve">BackEnd referente a funcionalidade manutenção de Industrias.</t>
  </si>
  <si>
    <t xml:space="preserve">FrontEnd referente a funcionalidade manutenção de Industrias.</t>
  </si>
  <si>
    <t xml:space="preserve">Desenvolvimento da CRUD(Create Industrias, Ready Industrias, Update Industrias, Delete Industrias) referente a funcionalidade em questão.</t>
  </si>
  <si>
    <t xml:space="preserve">Testes Automatizados</t>
  </si>
  <si>
    <t xml:space="preserve">Teste automatizado funcionalidade de Industrias.</t>
  </si>
  <si>
    <t xml:space="preserve">Documento de requisitos ERPS</t>
  </si>
  <si>
    <t xml:space="preserve">BackEnd referente a funcionalidade manutenção de ERPS.</t>
  </si>
  <si>
    <t xml:space="preserve">FrontEnd referente a funcionalidade manutenção de ERPS.</t>
  </si>
  <si>
    <t xml:space="preserve">Desenvolvimento da CRUD(Create ERPS, Ready ERPS, Update ERPS, Delete ERPS) referente a funcionalidade em questão.</t>
  </si>
  <si>
    <t xml:space="preserve">Sprint 5 - 21.09.2026 a 02.10.2026</t>
  </si>
  <si>
    <t xml:space="preserve">Documento de requisitos Indexadores</t>
  </si>
  <si>
    <t xml:space="preserve">BackEnd referente a funcionalidade manutenção de Indexadores</t>
  </si>
  <si>
    <t xml:space="preserve">FrontEnd referente a funcionalidade manutenção de Indexadores</t>
  </si>
  <si>
    <t xml:space="preserve">Desenvolvimento da CRUD(Create Indexadores, Ready Indexadores, Update Indexadores, Delete Indexadores) referente a funcionalidade em questão.</t>
  </si>
  <si>
    <t xml:space="preserve">Teste automatizado funcionalidade de Indexadores</t>
  </si>
  <si>
    <t xml:space="preserve">Felipe</t>
  </si>
  <si>
    <t xml:space="preserve">Documento de requisitos Segmentação</t>
  </si>
  <si>
    <t xml:space="preserve">BackEnd referente a funcionalidade manutenção de Segmentação</t>
  </si>
  <si>
    <t xml:space="preserve">FrontEnd referente a funcionalidade manutenção de Segmentação</t>
  </si>
  <si>
    <t xml:space="preserve">Desenvolvimento da CRUD(Create Segmentação, Ready Segmentação, Update Segmentação, Delete Segmentação) referente a funcionalidade em questão.</t>
  </si>
  <si>
    <t xml:space="preserve">Teste automatizado funcionalidade de Segmentação</t>
  </si>
  <si>
    <t xml:space="preserve">BackEnd referente a funcionalidade Configurações Gerais</t>
  </si>
  <si>
    <t xml:space="preserve">FrontEnd referente a funcionalidade Configurações Gerais</t>
  </si>
  <si>
    <t xml:space="preserve">Desenvolvimento da CRUD(Create Configurações Gerais, Ready Configurações Gerais, Update Configurações Gerais, Delete Configurações Gerais) referente a funcionalidade em questão.</t>
  </si>
  <si>
    <t xml:space="preserve">Analise geral do acesso ao Snow Flake</t>
  </si>
  <si>
    <t xml:space="preserve">Esta tarefa se resume em analisar os dados retornados pelo SnowFlake da Thomson Reuters, para implementação de da integraçao do o sistema de contratos. </t>
  </si>
  <si>
    <t xml:space="preserve">Preparar VDI da TR para desenvolvimento</t>
  </si>
  <si>
    <t xml:space="preserve">Instalar todas as ferramentas necessarias para desenvolvimento do projeto usando a VDI. 1-Git,2-Java Corretto 21,3-Eclipse,4-Vs code,5-NodesJS,6-Maven,7-Postgres,8-Plugis e dependencias que se fizerem necessárias</t>
  </si>
  <si>
    <t xml:space="preserve">PLANEJAMENTO DA PRÓXIMA SPRINT</t>
  </si>
  <si>
    <t xml:space="preserve">Sprint 6 - 05.10.2026 a 16.10.2026</t>
  </si>
  <si>
    <t xml:space="preserve">PENDÊNCIAS, DÚVIDAS E DECISÕES</t>
  </si>
  <si>
    <t xml:space="preserve">Tema</t>
  </si>
  <si>
    <t xml:space="preserve">Pergunta / Decisão necessária</t>
  </si>
  <si>
    <t xml:space="preserve">Prazo Limite</t>
  </si>
  <si>
    <t xml:space="preserve">Impacto</t>
  </si>
  <si>
    <t xml:space="preserve">PD_01</t>
  </si>
  <si>
    <t xml:space="preserve">Acesso TR – VDI</t>
  </si>
  <si>
    <t xml:space="preserve">Liberação da VDI(Edvaldo) por parte da TR</t>
  </si>
  <si>
    <t xml:space="preserve">Marcio </t>
  </si>
  <si>
    <t xml:space="preserve">Resolvido</t>
  </si>
  <si>
    <t xml:space="preserve">Alto</t>
  </si>
  <si>
    <t xml:space="preserve">PD_02</t>
  </si>
  <si>
    <t xml:space="preserve">Acesso- SnowFlake</t>
  </si>
  <si>
    <t xml:space="preserve">Liberação de Acesso por parte da TR</t>
  </si>
  <si>
    <t xml:space="preserve">Carlos</t>
  </si>
  <si>
    <t xml:space="preserve">PD_03</t>
  </si>
  <si>
    <t xml:space="preserve">Acesso – Power BI</t>
  </si>
  <si>
    <t xml:space="preserve">Em atraso</t>
  </si>
  <si>
    <t xml:space="preserve">PD_04</t>
  </si>
  <si>
    <t xml:space="preserve">Ambiente QA</t>
  </si>
  <si>
    <t xml:space="preserve">Liberação de Ambiente QA para disponibilizar a aplicação</t>
  </si>
  <si>
    <t xml:space="preserve">PD_05</t>
  </si>
  <si>
    <t xml:space="preserve">Acesso aos Excedentes</t>
  </si>
  <si>
    <t xml:space="preserve">Criação de EndPoint para acesso às informações de Excedentes</t>
  </si>
  <si>
    <t xml:space="preserve">Alcestes</t>
  </si>
  <si>
    <t xml:space="preserve">Em análise</t>
  </si>
  <si>
    <t xml:space="preserve">PD_06</t>
  </si>
  <si>
    <t xml:space="preserve">Aprovação dos Fluxos</t>
  </si>
  <si>
    <t xml:space="preserve">Aprovação dos 5 primeiros Fluxos de Gestão de Contratos discutidos em reuniões de trabalho</t>
  </si>
  <si>
    <t xml:space="preserve">Jaqueline / Sérgio / Michael / Carlos</t>
  </si>
  <si>
    <t xml:space="preserve">PD_07</t>
  </si>
  <si>
    <t xml:space="preserve">Fluxo de Entitlement</t>
  </si>
  <si>
    <t xml:space="preserve">Após reunião com o time de Entitlement ficou decidido que o time TR - Entitlement iria definir  um fluxo de Complementação de Contrato, para apresentação.  Similar ao feito pela Bárbara / Dislaine.</t>
  </si>
  <si>
    <t xml:space="preserve">EVOLUÇÃO DAS ENTREGAS POR SPRINT</t>
  </si>
  <si>
    <t xml:space="preserve">Planejadas</t>
  </si>
  <si>
    <t xml:space="preserve">Entregues na Sprint</t>
  </si>
  <si>
    <t xml:space="preserve">Entregas acumuladas</t>
  </si>
  <si>
    <t xml:space="preserve">Sprint 7 - 19.10.2026 a 30.10.2026</t>
  </si>
  <si>
    <t xml:space="preserve">Sprint 8 - 03.11.2026 a 13.11.2026</t>
  </si>
  <si>
    <t xml:space="preserve">Sprint 9 - 16.11.2026 a 27.11.2026</t>
  </si>
  <si>
    <t xml:space="preserve">Sprint 10 - 30.11.2026 a 11.12.2026</t>
  </si>
  <si>
    <t xml:space="preserve">RISCOS DO PROJETO</t>
  </si>
  <si>
    <t xml:space="preserve">Risco</t>
  </si>
  <si>
    <t xml:space="preserve">Descrição</t>
  </si>
  <si>
    <t xml:space="preserve">Probabilidade</t>
  </si>
  <si>
    <t xml:space="preserve">Mitigação</t>
  </si>
  <si>
    <t xml:space="preserve">RI_01</t>
  </si>
  <si>
    <t xml:space="preserve">Dependência de acessos TR – VDI)</t>
  </si>
  <si>
    <t xml:space="preserve">Para que não ocorra atrasos no desenvolvimento, o acesso VDI de desenvolvimento precisa esta liberada o mais rapido possível.</t>
  </si>
  <si>
    <t xml:space="preserve">Alta</t>
  </si>
  <si>
    <t xml:space="preserve">Priorizar liberações com a TR e manter ambiente local de desenvolvimento</t>
  </si>
  <si>
    <t xml:space="preserve">Marcio</t>
  </si>
  <si>
    <t xml:space="preserve">RI_02</t>
  </si>
  <si>
    <t xml:space="preserve">Dependência de acessos TR  Snowflake</t>
  </si>
  <si>
    <t xml:space="preserve">Para que não ocorra atrasos no desenvolvimento, o acesso ao SnowFlake tem que esta disponivel no maximo ate 28.09.2026, uma vez que o desenvolvimento que se inicia em 05.10 depende estudo já pronto para a integração</t>
  </si>
  <si>
    <t xml:space="preserve">Priorizar liberações com a TR e manter ambiente local/mock enquanto pendente.</t>
  </si>
  <si>
    <t xml:space="preserve">RI_03</t>
  </si>
  <si>
    <t xml:space="preserve">Dependência de acessos TR  Power BI</t>
  </si>
  <si>
    <t xml:space="preserve">Para que não ocorra atrasos no desenvolvimento, o acesso ao Power BI tem que esta disponivel no maximo ate 28.09.2026, uma vez que o desenvolvimento que se inicia em 05.10 depende estudo já pronto para a integração</t>
  </si>
  <si>
    <t xml:space="preserve">Aberto</t>
  </si>
  <si>
    <t xml:space="preserve">RI_04</t>
  </si>
  <si>
    <t xml:space="preserve">Ambiente QA indisponível</t>
  </si>
  <si>
    <t xml:space="preserve">Sem QA, a disponibilização da aplicação para homologação fica bloqueada.</t>
  </si>
  <si>
    <t xml:space="preserve">Acompanhar liberação do ambiente e validar checklist de deploy antecipadamente.</t>
  </si>
  <si>
    <t xml:space="preserve">RI_05</t>
  </si>
  <si>
    <t xml:space="preserve">Regras de negócios apresentando indefinições</t>
  </si>
  <si>
    <t xml:space="preserve">Durante o levantamento dos requisitos do Sistema de Contratos, identificamos alguns pontos que ainda estão sendo discutidos e que possuem diferentes entendimentos sobre as regras de negócio por parte dos times.</t>
  </si>
  <si>
    <t xml:space="preserve">Médio</t>
  </si>
  <si>
    <t xml:space="preserve">Média</t>
  </si>
  <si>
    <t xml:space="preserve">Para conseguirmos avançar com mais segurança e evitar retrabalho durante o desenvolvimento, acreditamos que seria importante que esses pontos fossem alinhados e consolidados previamente entre os responsáveis pelo negócio.</t>
  </si>
  <si>
    <t xml:space="preserve">Time TR</t>
  </si>
  <si>
    <t xml:space="preserve">RI_06</t>
  </si>
  <si>
    <t xml:space="preserve">Atraso na disponibilização do ambiente de QA </t>
  </si>
  <si>
    <t xml:space="preserve">Foi identificada como ponto de atenção a disponibilidade do servidor destinado ao ambiente de QA, necessário para a publicação, validação e homologação da aplicação.</t>
  </si>
  <si>
    <t xml:space="preserve">Recomenda-se priorizar a disponibilização e configuração do ambiente de QA e, paralelamente, manter o acompanhamento desse ponto junto às equipes envolvidas. Evitando assim, atraso na publicação da aplicação, e possível gargalo no processo de homologação.</t>
  </si>
  <si>
    <t xml:space="preserve">FLUXOS BIZAGI</t>
  </si>
  <si>
    <t xml:space="preserve">Seq</t>
  </si>
  <si>
    <t xml:space="preserve">Nome</t>
  </si>
  <si>
    <t xml:space="preserve">Imagem</t>
  </si>
  <si>
    <t xml:space="preserve">AtualizadoEm</t>
  </si>
  <si>
    <t xml:space="preserve">Passo a Passo</t>
  </si>
  <si>
    <t xml:space="preserve">oportunidade-em-andamento</t>
  </si>
  <si>
    <t xml:space="preserve">Oportunidade em Andamento</t>
  </si>
  <si>
    <t xml:space="preserve">Fluxo iniciado por agendamento do sistema de contratos; processa oportunidades do Salesforce (Snowflake).</t>
  </si>
  <si>
    <t xml:space="preserve">oportunidade-em-andamento.png</t>
  </si>
  <si>
    <t xml:space="preserve">Aprovado</t>
  </si>
  <si>
    <t xml:space="preserve">2026-09-18</t>
  </si>
  <si>
    <t xml:space="preserve">new-name</t>
  </si>
  <si>
    <t xml:space="preserve">New Name</t>
  </si>
  <si>
    <t xml:space="preserve">Fluxo New Name.</t>
  </si>
  <si>
    <t xml:space="preserve">new-name.png</t>
  </si>
  <si>
    <t xml:space="preserve">new-base-cliente</t>
  </si>
  <si>
    <t xml:space="preserve">New Base (Cliente)</t>
  </si>
  <si>
    <t xml:space="preserve">Fluxo de nova base de cliente.</t>
  </si>
  <si>
    <t xml:space="preserve">new-base-cliente.png</t>
  </si>
  <si>
    <t xml:space="preserve">new-base-produto-ou-modulo</t>
  </si>
  <si>
    <t xml:space="preserve">New Base (Produto ou Módulo)</t>
  </si>
  <si>
    <t xml:space="preserve">Fluxo de nova base de produto ou módulo.</t>
  </si>
  <si>
    <t xml:space="preserve">new-base-produto-ou-modulo.png</t>
  </si>
  <si>
    <t xml:space="preserve">complementacao-do-contrato</t>
  </si>
  <si>
    <t xml:space="preserve">Complementação do Contrato</t>
  </si>
  <si>
    <t xml:space="preserve">Fluxo de complementação de dados do contrato.</t>
  </si>
  <si>
    <t xml:space="preserve">complementacao-do-contrato.png</t>
  </si>
  <si>
    <t xml:space="preserve">Aguardando aprovação</t>
  </si>
  <si>
    <t xml:space="preserve">validacao-oportunidades-renovacao</t>
  </si>
  <si>
    <t xml:space="preserve">Validação das Oportunidades de Renovação</t>
  </si>
  <si>
    <t xml:space="preserve">Fluxo de validação das oportunidades de renovação.</t>
  </si>
  <si>
    <t xml:space="preserve">validacao-oportunidades-renovacao.png</t>
  </si>
  <si>
    <t xml:space="preserve">Renovação Anual - Comunicação</t>
  </si>
  <si>
    <t xml:space="preserve">2026-09-23</t>
  </si>
  <si>
    <t xml:space="preserve">Cancelamento</t>
  </si>
  <si>
    <t xml:space="preserve">Em andamento</t>
  </si>
  <si>
    <t xml:space="preserve">Entitlement</t>
  </si>
  <si>
    <t xml:space="preserve">Nao iniciado</t>
  </si>
  <si>
    <t xml:space="preserve">recupera-dados-de-consumo</t>
  </si>
  <si>
    <t xml:space="preserve">Recupera Dados de Consumo</t>
  </si>
  <si>
    <t xml:space="preserve">Fluxo de recuperação de dados de consumo.</t>
  </si>
  <si>
    <t xml:space="preserve">recupera-dados-de-consumo.png</t>
  </si>
  <si>
    <t xml:space="preserve">ausencia-de-consumo</t>
  </si>
  <si>
    <t xml:space="preserve">Ausência de Consumo</t>
  </si>
  <si>
    <t xml:space="preserve">Fluxo de tratamento de ausência de consumo.</t>
  </si>
  <si>
    <t xml:space="preserve">ausencia-de-consumo.png</t>
  </si>
  <si>
    <t xml:space="preserve">excedentes-mensal</t>
  </si>
  <si>
    <t xml:space="preserve">Excedentes Mensal</t>
  </si>
  <si>
    <t xml:space="preserve">Fluxo de excedentes mensais.</t>
  </si>
  <si>
    <t xml:space="preserve">excedentes-mensal.png</t>
  </si>
  <si>
    <t xml:space="preserve">retorno do comunicado do e-mail</t>
  </si>
  <si>
    <t xml:space="preserve">Fluxo do retorno do comunicado do e-mail</t>
  </si>
  <si>
    <t xml:space="preserve">2026-09-30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</si>
</sst>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8">
    <font>
      <sz val="12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DDDDDD"/>
      </patternFill>
    </fill>
    <fill>
      <patternFill patternType="solid">
        <fgColor rgb="FFFF8000"/>
        <bgColor rgb="FFFF6600"/>
      </patternFill>
    </fill>
    <fill>
      <patternFill patternType="solid">
        <fgColor rgb="FFDDDDDD"/>
        <bgColor rgb="FFE2F0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5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" xfId="20"/>
    <cellStyle name="Normal 5" xfId="21"/>
  </cellStyles>
  <dxfs count="3">
    <dxf>
      <font>
        <name val="Calibri"/>
        <family val="2"/>
        <b val="1"/>
        <color rgb="FF006100"/>
        <sz val="12"/>
      </font>
      <fill>
        <patternFill>
          <bgColor rgb="FFE2F0D9"/>
        </patternFill>
      </fill>
    </dxf>
    <dxf>
      <font>
        <name val="Calibri"/>
        <family val="2"/>
        <b val="1"/>
        <color rgb="FF9C6500"/>
        <sz val="12"/>
      </font>
      <fill>
        <patternFill>
          <bgColor rgb="FFFFF2CC"/>
        </patternFill>
      </fill>
    </dxf>
    <dxf>
      <font>
        <name val="Calibri"/>
        <family val="2"/>
        <b val="1"/>
        <color rgb="FFC00000"/>
        <sz val="12"/>
      </font>
      <fill>
        <patternFill>
          <bgColor rgb="FFF4CC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E22" activeCellId="0" sqref="E22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32.78"/>
    <col collapsed="false" customWidth="true" hidden="false" outlineLevel="0" max="2" min="2" style="1" width="14.55"/>
    <col collapsed="false" customWidth="true" hidden="false" outlineLevel="0" max="3" min="3" style="1" width="13.8"/>
    <col collapsed="false" customWidth="true" hidden="false" outlineLevel="0" max="4" min="4" style="1" width="15.06"/>
    <col collapsed="false" customWidth="true" hidden="false" outlineLevel="0" max="5" min="5" style="1" width="14.68"/>
    <col collapsed="false" customWidth="true" hidden="false" outlineLevel="0" max="6" min="6" style="1" width="26.33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D4" s="4"/>
      <c r="E4" s="4"/>
      <c r="F4" s="4"/>
      <c r="G4" s="4"/>
      <c r="H4" s="4"/>
    </row>
    <row r="5" customFormat="false" ht="15" hidden="false" customHeight="false" outlineLevel="0" collapsed="false">
      <c r="A5" s="5" t="s">
        <v>2</v>
      </c>
      <c r="B5" s="5"/>
      <c r="D5" s="5" t="s">
        <v>3</v>
      </c>
      <c r="E5" s="5"/>
      <c r="G5" s="5" t="s">
        <v>4</v>
      </c>
      <c r="H5" s="5"/>
      <c r="I5" s="5" t="s">
        <v>5</v>
      </c>
      <c r="J5" s="5"/>
    </row>
    <row r="6" customFormat="false" ht="15" hidden="false" customHeight="false" outlineLevel="0" collapsed="false">
      <c r="A6" s="4" t="n">
        <v>4</v>
      </c>
      <c r="B6" s="4"/>
      <c r="D6" s="4" t="n">
        <f aca="false">SUM(B12:B15)</f>
        <v>41</v>
      </c>
      <c r="E6" s="4"/>
      <c r="G6" s="4" t="n">
        <f aca="false">SUM(C12:C15)</f>
        <v>41</v>
      </c>
      <c r="H6" s="4"/>
      <c r="I6" s="4" t="n">
        <f aca="false">IFERROR(SUM(C12:C15)/SUM(B12:B15),0)</f>
        <v>1</v>
      </c>
      <c r="J6" s="4"/>
    </row>
    <row r="7" customFormat="false" ht="15" hidden="false" customHeight="false" outlineLevel="0" collapsed="false">
      <c r="A7" s="4"/>
      <c r="B7" s="4" t="e">
        <f aca="false">#ERR520!</f>
        <v>#N/A</v>
      </c>
      <c r="D7" s="4"/>
      <c r="E7" s="4"/>
      <c r="G7" s="4"/>
      <c r="H7" s="4"/>
      <c r="I7" s="4"/>
      <c r="J7" s="4"/>
    </row>
    <row r="8" customFormat="false" ht="15" hidden="false" customHeight="false" outlineLevel="0" collapsed="false"/>
    <row r="9" customFormat="false" ht="15" hidden="false" customHeight="false" outlineLevel="0" collapsed="false">
      <c r="E9" s="1" t="e">
        <f aca="false">#ERR520!</f>
        <v>#N/A</v>
      </c>
    </row>
    <row r="10" customFormat="false" ht="15" hidden="false" customHeight="false" outlineLevel="0" collapsed="false">
      <c r="A10" s="6" t="s">
        <v>6</v>
      </c>
      <c r="B10" s="6"/>
      <c r="C10" s="6"/>
      <c r="D10" s="6"/>
      <c r="E10" s="6"/>
      <c r="F10" s="6"/>
    </row>
    <row r="11" customFormat="false" ht="15" hidden="false" customHeight="false" outlineLevel="0" collapsed="false">
      <c r="A11" s="7" t="s">
        <v>7</v>
      </c>
      <c r="B11" s="7" t="s">
        <v>8</v>
      </c>
      <c r="C11" s="7" t="s">
        <v>9</v>
      </c>
      <c r="D11" s="7" t="s">
        <v>10</v>
      </c>
      <c r="E11" s="7" t="s">
        <v>11</v>
      </c>
      <c r="F11" s="7" t="s">
        <v>12</v>
      </c>
    </row>
    <row r="12" customFormat="false" ht="15" hidden="false" customHeight="false" outlineLevel="0" collapsed="false">
      <c r="A12" s="1" t="str">
        <f aca="false">'Evolução do Projeto'!A5</f>
        <v>Sprint 0 - 13.07.2026 a 24.07.2026</v>
      </c>
      <c r="B12" s="1" t="n">
        <f aca="false">'Evolução do Projeto'!B5</f>
        <v>3</v>
      </c>
      <c r="C12" s="1" t="n">
        <f aca="false">'Evolução do Projeto'!C5</f>
        <v>3</v>
      </c>
      <c r="D12" s="1" t="n">
        <f aca="false">IF(C12="", "", IFERROR(C12/B12,0))</f>
        <v>1</v>
      </c>
      <c r="E12" s="1" t="str">
        <f aca="false">IF(C12="","Atualizar",IF(C12&gt;=B12,"Concluída","Parcial"))</f>
        <v>Concluída</v>
      </c>
      <c r="F12" s="1" t="str">
        <f aca="false">IFERROR(MID(A12,FIND("-",A12)+2,99),"")</f>
        <v>13.07.2026 a 24.07.2026</v>
      </c>
    </row>
    <row r="13" customFormat="false" ht="15" hidden="false" customHeight="false" outlineLevel="0" collapsed="false">
      <c r="A13" s="1" t="str">
        <f aca="false">'Evolução do Projeto'!A6</f>
        <v>Sprint 1 - 27.07.2026 a 07.08.2026</v>
      </c>
      <c r="B13" s="1" t="n">
        <v>10</v>
      </c>
      <c r="C13" s="1" t="n">
        <v>10</v>
      </c>
      <c r="D13" s="1" t="n">
        <f aca="false">IF(C13="", "", IFERROR(C13/B13,0))</f>
        <v>1</v>
      </c>
      <c r="E13" s="1" t="str">
        <f aca="false">IF(C13="","Atualizar",IF(C13&gt;=B13,"Concluída","Parcial"))</f>
        <v>Concluída</v>
      </c>
      <c r="F13" s="1" t="str">
        <f aca="false">IFERROR(MID(A13,FIND("-",A13)+2,99),"")</f>
        <v>27.07.2026 a 07.08.2026</v>
      </c>
    </row>
    <row r="14" customFormat="false" ht="15" hidden="false" customHeight="false" outlineLevel="0" collapsed="false">
      <c r="A14" s="1" t="str">
        <f aca="false">'Evolução do Projeto'!A7</f>
        <v>Sprint 2 - 10.08.2026 a 21.08.2026</v>
      </c>
      <c r="B14" s="1" t="n">
        <v>16</v>
      </c>
      <c r="C14" s="1" t="n">
        <v>16</v>
      </c>
      <c r="D14" s="1" t="n">
        <f aca="false">IF(C14="", "", IFERROR(C14/B14,0))</f>
        <v>1</v>
      </c>
      <c r="E14" s="1" t="str">
        <f aca="false">IF(C14="","Atualizar",IF(C14&gt;=B14,"Concluída","Parcial"))</f>
        <v>Concluída</v>
      </c>
      <c r="F14" s="1" t="str">
        <f aca="false">IFERROR(MID(A14,FIND("-",A14)+2,99),"")</f>
        <v>10.08.2026 a 21.08.2026</v>
      </c>
    </row>
    <row r="15" customFormat="false" ht="15" hidden="false" customHeight="false" outlineLevel="0" collapsed="false">
      <c r="A15" s="1" t="str">
        <f aca="false">'Evolução do Projeto'!A8</f>
        <v>Sprint 3 - 24.08.2026 a 04.09.2026</v>
      </c>
      <c r="B15" s="1" t="n">
        <f aca="false">'Evolução do Projeto'!B8</f>
        <v>12</v>
      </c>
      <c r="C15" s="1" t="n">
        <v>12</v>
      </c>
      <c r="D15" s="1" t="n">
        <f aca="false">IF(C15="", "", IFERROR(C15/B15,0))</f>
        <v>1</v>
      </c>
      <c r="E15" s="1" t="str">
        <f aca="false">IF(C15="","Atualizar",IF(C15&gt;=B15,"Concluída","Parcial"))</f>
        <v>Concluída</v>
      </c>
      <c r="F15" s="1" t="str">
        <f aca="false">IFERROR(MID(A15,FIND("-",A15)+2,99),"")</f>
        <v>24.08.2026 a 04.09.2026</v>
      </c>
    </row>
    <row r="16" customFormat="false" ht="15" hidden="false" customHeight="false" outlineLevel="0" collapsed="false">
      <c r="A16" s="1" t="str">
        <f aca="false">'Evolução do Projeto'!A9</f>
        <v>Sprint 4 - 08.09.2026 a 18.09.2026</v>
      </c>
      <c r="B16" s="1" t="n">
        <f aca="false">'Evolução do Projeto'!B9</f>
        <v>10</v>
      </c>
      <c r="C16" s="1" t="n">
        <v>10</v>
      </c>
      <c r="D16" s="1" t="n">
        <f aca="false">IF(C16="", "", IFERROR(C16/B16,0))</f>
        <v>1</v>
      </c>
      <c r="E16" s="1" t="str">
        <f aca="false">IF(C16="","Atualizar",IF(C16&gt;=B16,"Concluída","Parcial"))</f>
        <v>Concluída</v>
      </c>
      <c r="F16" s="1" t="str">
        <f aca="false">IFERROR(MID(A16,FIND("-",A16)+2,99),"")</f>
        <v>08.09.2026 a 18.09.2026</v>
      </c>
    </row>
    <row r="17" customFormat="false" ht="15" hidden="false" customHeight="false" outlineLevel="0" collapsed="false">
      <c r="A17" s="1" t="str">
        <f aca="false">'Evolução do Projeto'!A10</f>
        <v>Sprint 5 - 21.09.2026 a 02.10.2026</v>
      </c>
      <c r="B17" s="1" t="n">
        <f aca="false">'Evolução do Projeto'!B10</f>
        <v>10</v>
      </c>
      <c r="C17" s="1" t="n">
        <v>10</v>
      </c>
      <c r="D17" s="1" t="n">
        <f aca="false">IF(C17="", "", IFERROR(C17/B17,0))</f>
        <v>1</v>
      </c>
      <c r="E17" s="1" t="str">
        <f aca="false">IF(C17="","Atualizar",IF(C17&gt;=B17,"Concluída","Parcial"))</f>
        <v>Concluída</v>
      </c>
      <c r="F17" s="1" t="str">
        <f aca="false">IFERROR(MID(A17,FIND("-",A17)+2,99),"")</f>
        <v>21.09.2026 a 02.10.2026</v>
      </c>
    </row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>
      <c r="A20" s="1" t="s">
        <v>13</v>
      </c>
    </row>
  </sheetData>
  <mergeCells count="12">
    <mergeCell ref="A1:J2"/>
    <mergeCell ref="A3:J3"/>
    <mergeCell ref="D4:H4"/>
    <mergeCell ref="A5:B5"/>
    <mergeCell ref="D5:E5"/>
    <mergeCell ref="G5:H5"/>
    <mergeCell ref="I5:J5"/>
    <mergeCell ref="A6:B7"/>
    <mergeCell ref="D6:E7"/>
    <mergeCell ref="G6:H7"/>
    <mergeCell ref="I6:J7"/>
    <mergeCell ref="A10:F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9"/>
  <sheetViews>
    <sheetView showFormulas="false" showGridLines="true" showRowColHeaders="true" showZeros="true" rightToLeft="false" tabSelected="false" showOutlineSymbols="true" defaultGridColor="true" view="normal" topLeftCell="A53" colorId="64" zoomScale="100" zoomScaleNormal="100" zoomScalePageLayoutView="100" workbookViewId="0">
      <selection pane="topLeft" activeCell="D74" activeCellId="0" sqref="D74"/>
    </sheetView>
  </sheetViews>
  <sheetFormatPr defaultColWidth="8.50390625" defaultRowHeight="15" customHeight="false" zeroHeight="false" outlineLevelRow="0" outlineLevelCol="0"/>
  <cols>
    <col collapsed="false" customWidth="true" hidden="false" outlineLevel="0" max="1" min="1" style="1" width="33.17"/>
    <col collapsed="false" customWidth="true" hidden="false" outlineLevel="0" max="2" min="2" style="8" width="10.38"/>
    <col collapsed="false" customWidth="true" hidden="false" outlineLevel="0" max="3" min="3" style="1" width="50.5"/>
    <col collapsed="false" customWidth="true" hidden="false" outlineLevel="0" max="4" min="4" style="1" width="56.45"/>
  </cols>
  <sheetData>
    <row r="1" customFormat="false" ht="15" hidden="false" customHeight="false" outlineLevel="0" collapsed="false">
      <c r="A1" s="9" t="s">
        <v>14</v>
      </c>
      <c r="B1" s="9"/>
      <c r="C1" s="9"/>
      <c r="D1" s="9"/>
      <c r="E1" s="9"/>
      <c r="F1" s="9"/>
      <c r="G1" s="9"/>
      <c r="I1" s="6" t="s">
        <v>15</v>
      </c>
      <c r="J1" s="6"/>
      <c r="K1" s="6"/>
    </row>
    <row r="2" customFormat="false" ht="15" hidden="false" customHeight="false" outlineLevel="0" collapsed="false">
      <c r="A2" s="6" t="s">
        <v>16</v>
      </c>
      <c r="B2" s="6"/>
      <c r="C2" s="6"/>
      <c r="D2" s="6"/>
      <c r="E2" s="6"/>
      <c r="F2" s="6"/>
      <c r="G2" s="6"/>
      <c r="I2" s="1" t="s">
        <v>17</v>
      </c>
      <c r="J2" s="1" t="s">
        <v>18</v>
      </c>
    </row>
    <row r="3" customFormat="false" ht="15" hidden="false" customHeight="false" outlineLevel="0" collapsed="false">
      <c r="I3" s="1" t="s">
        <v>19</v>
      </c>
      <c r="K3" s="1" t="n">
        <f aca="false">COUNTA(B5:B500)</f>
        <v>65</v>
      </c>
    </row>
    <row r="4" customFormat="false" ht="15" hidden="false" customHeight="false" outlineLevel="0" collapsed="false">
      <c r="A4" s="10" t="s">
        <v>7</v>
      </c>
      <c r="B4" s="11" t="s">
        <v>20</v>
      </c>
      <c r="C4" s="10" t="s">
        <v>21</v>
      </c>
      <c r="D4" s="10" t="s">
        <v>22</v>
      </c>
      <c r="E4" s="10" t="s">
        <v>23</v>
      </c>
      <c r="F4" s="10" t="s">
        <v>11</v>
      </c>
      <c r="G4" s="10" t="s">
        <v>24</v>
      </c>
      <c r="I4" s="1" t="s">
        <v>25</v>
      </c>
      <c r="K4" s="1" t="n">
        <f aca="false">COUNTIF(F5:F500,"Entregue")</f>
        <v>0</v>
      </c>
    </row>
    <row r="5" customFormat="false" ht="15" hidden="false" customHeight="false" outlineLevel="0" collapsed="false">
      <c r="A5" s="1" t="s">
        <v>26</v>
      </c>
      <c r="B5" s="8" t="n">
        <v>1947</v>
      </c>
      <c r="C5" s="1" t="s">
        <v>27</v>
      </c>
      <c r="D5" s="1" t="s">
        <v>28</v>
      </c>
      <c r="E5" s="1" t="s">
        <v>29</v>
      </c>
      <c r="F5" s="1" t="s">
        <v>30</v>
      </c>
    </row>
    <row r="6" customFormat="false" ht="15" hidden="false" customHeight="false" outlineLevel="0" collapsed="false">
      <c r="A6" s="1" t="s">
        <v>26</v>
      </c>
      <c r="B6" s="8" t="n">
        <v>1948</v>
      </c>
      <c r="C6" s="1" t="s">
        <v>31</v>
      </c>
      <c r="D6" s="1" t="s">
        <v>32</v>
      </c>
      <c r="E6" s="1" t="s">
        <v>29</v>
      </c>
      <c r="F6" s="1" t="s">
        <v>30</v>
      </c>
      <c r="I6" s="1" t="s">
        <v>7</v>
      </c>
      <c r="J6" s="1" t="s">
        <v>33</v>
      </c>
    </row>
    <row r="7" customFormat="false" ht="15" hidden="false" customHeight="false" outlineLevel="0" collapsed="false">
      <c r="A7" s="1" t="s">
        <v>26</v>
      </c>
      <c r="B7" s="8" t="n">
        <v>1949</v>
      </c>
      <c r="C7" s="1" t="s">
        <v>34</v>
      </c>
      <c r="D7" s="1" t="s">
        <v>35</v>
      </c>
      <c r="E7" s="1" t="s">
        <v>36</v>
      </c>
      <c r="F7" s="1" t="s">
        <v>30</v>
      </c>
      <c r="I7" s="1" t="s">
        <v>37</v>
      </c>
      <c r="K7" s="1" t="n">
        <f aca="false">COUNTIF(A5:A500,"Sprint 1")</f>
        <v>0</v>
      </c>
    </row>
    <row r="8" customFormat="false" ht="15" hidden="false" customHeight="false" outlineLevel="0" collapsed="false">
      <c r="A8" s="1" t="s">
        <v>38</v>
      </c>
      <c r="B8" s="8" t="n">
        <v>1961</v>
      </c>
      <c r="C8" s="1" t="s">
        <v>39</v>
      </c>
      <c r="D8" s="1" t="s">
        <v>40</v>
      </c>
      <c r="E8" s="1" t="s">
        <v>41</v>
      </c>
      <c r="F8" s="1" t="s">
        <v>30</v>
      </c>
      <c r="I8" s="1" t="s">
        <v>42</v>
      </c>
      <c r="K8" s="1" t="n">
        <f aca="false">COUNTIF(A5:A500,"Sprint 2")</f>
        <v>0</v>
      </c>
    </row>
    <row r="9" customFormat="false" ht="15" hidden="false" customHeight="false" outlineLevel="0" collapsed="false">
      <c r="A9" s="1" t="s">
        <v>38</v>
      </c>
      <c r="B9" s="8" t="n">
        <v>1962</v>
      </c>
      <c r="C9" s="1" t="s">
        <v>43</v>
      </c>
      <c r="D9" s="1" t="s">
        <v>44</v>
      </c>
      <c r="E9" s="1" t="s">
        <v>41</v>
      </c>
      <c r="F9" s="1" t="s">
        <v>30</v>
      </c>
      <c r="I9" s="1" t="s">
        <v>45</v>
      </c>
      <c r="K9" s="1" t="n">
        <f aca="false">COUNTIF(A5:A500,"Sprint 3")</f>
        <v>0</v>
      </c>
    </row>
    <row r="10" customFormat="false" ht="15" hidden="false" customHeight="false" outlineLevel="0" collapsed="false">
      <c r="A10" s="1" t="s">
        <v>38</v>
      </c>
      <c r="B10" s="8" t="n">
        <v>1963</v>
      </c>
      <c r="C10" s="1" t="s">
        <v>46</v>
      </c>
      <c r="D10" s="1" t="s">
        <v>47</v>
      </c>
      <c r="E10" s="1" t="s">
        <v>41</v>
      </c>
      <c r="F10" s="1" t="s">
        <v>30</v>
      </c>
      <c r="I10" s="1" t="s">
        <v>48</v>
      </c>
      <c r="K10" s="1" t="n">
        <f aca="false">COUNTIF(A5:A500,"Sprint 4")</f>
        <v>0</v>
      </c>
    </row>
    <row r="11" customFormat="false" ht="15" hidden="false" customHeight="false" outlineLevel="0" collapsed="false">
      <c r="A11" s="1" t="s">
        <v>38</v>
      </c>
      <c r="B11" s="8" t="n">
        <v>1973</v>
      </c>
      <c r="C11" s="1" t="s">
        <v>49</v>
      </c>
      <c r="D11" s="1" t="s">
        <v>40</v>
      </c>
      <c r="E11" s="1" t="s">
        <v>41</v>
      </c>
      <c r="F11" s="1" t="s">
        <v>30</v>
      </c>
    </row>
    <row r="12" customFormat="false" ht="15" hidden="false" customHeight="false" outlineLevel="0" collapsed="false">
      <c r="A12" s="1" t="s">
        <v>38</v>
      </c>
      <c r="B12" s="8" t="n">
        <v>1974</v>
      </c>
      <c r="C12" s="1" t="s">
        <v>50</v>
      </c>
      <c r="D12" s="1" t="s">
        <v>44</v>
      </c>
      <c r="E12" s="1" t="s">
        <v>41</v>
      </c>
      <c r="F12" s="1" t="s">
        <v>30</v>
      </c>
    </row>
    <row r="13" customFormat="false" ht="15" hidden="false" customHeight="false" outlineLevel="0" collapsed="false">
      <c r="A13" s="1" t="s">
        <v>38</v>
      </c>
      <c r="B13" s="8" t="n">
        <v>1975</v>
      </c>
      <c r="C13" s="1" t="s">
        <v>51</v>
      </c>
      <c r="D13" s="1" t="s">
        <v>47</v>
      </c>
      <c r="E13" s="1" t="s">
        <v>41</v>
      </c>
      <c r="F13" s="1" t="s">
        <v>30</v>
      </c>
    </row>
    <row r="14" customFormat="false" ht="15" hidden="false" customHeight="false" outlineLevel="0" collapsed="false">
      <c r="A14" s="1" t="s">
        <v>38</v>
      </c>
      <c r="B14" s="8" t="n">
        <v>1967</v>
      </c>
      <c r="C14" s="1" t="s">
        <v>49</v>
      </c>
      <c r="D14" s="1" t="s">
        <v>40</v>
      </c>
      <c r="E14" s="1" t="s">
        <v>41</v>
      </c>
      <c r="F14" s="1" t="s">
        <v>30</v>
      </c>
    </row>
    <row r="15" customFormat="false" ht="15" hidden="false" customHeight="false" outlineLevel="0" collapsed="false">
      <c r="A15" s="1" t="s">
        <v>38</v>
      </c>
      <c r="B15" s="8" t="n">
        <v>1968</v>
      </c>
      <c r="C15" s="1" t="s">
        <v>52</v>
      </c>
      <c r="D15" s="1" t="s">
        <v>44</v>
      </c>
      <c r="E15" s="1" t="s">
        <v>41</v>
      </c>
      <c r="F15" s="1" t="s">
        <v>30</v>
      </c>
    </row>
    <row r="16" customFormat="false" ht="15" hidden="false" customHeight="false" outlineLevel="0" collapsed="false">
      <c r="A16" s="1" t="s">
        <v>38</v>
      </c>
      <c r="B16" s="8" t="n">
        <v>1969</v>
      </c>
      <c r="C16" s="1" t="s">
        <v>53</v>
      </c>
      <c r="D16" s="1" t="s">
        <v>47</v>
      </c>
      <c r="E16" s="1" t="s">
        <v>41</v>
      </c>
      <c r="F16" s="1" t="s">
        <v>30</v>
      </c>
    </row>
    <row r="17" customFormat="false" ht="15" hidden="false" customHeight="false" outlineLevel="0" collapsed="false">
      <c r="A17" s="1" t="s">
        <v>38</v>
      </c>
      <c r="B17" s="8" t="s">
        <v>54</v>
      </c>
      <c r="C17" s="1" t="s">
        <v>55</v>
      </c>
      <c r="D17" s="1" t="s">
        <v>56</v>
      </c>
      <c r="E17" s="1" t="s">
        <v>41</v>
      </c>
      <c r="F17" s="1" t="s">
        <v>30</v>
      </c>
    </row>
    <row r="18" customFormat="false" ht="15" hidden="false" customHeight="false" outlineLevel="0" collapsed="false">
      <c r="A18" s="1" t="s">
        <v>57</v>
      </c>
      <c r="B18" s="8" t="s">
        <v>58</v>
      </c>
      <c r="C18" s="1" t="s">
        <v>59</v>
      </c>
      <c r="D18" s="1" t="s">
        <v>60</v>
      </c>
      <c r="E18" s="1" t="s">
        <v>41</v>
      </c>
      <c r="F18" s="1" t="s">
        <v>30</v>
      </c>
    </row>
    <row r="19" customFormat="false" ht="15" hidden="false" customHeight="false" outlineLevel="0" collapsed="false">
      <c r="A19" s="1" t="s">
        <v>57</v>
      </c>
      <c r="B19" s="8" t="s">
        <v>61</v>
      </c>
      <c r="C19" s="1" t="s">
        <v>62</v>
      </c>
      <c r="D19" s="1" t="s">
        <v>63</v>
      </c>
      <c r="E19" s="1" t="s">
        <v>41</v>
      </c>
      <c r="F19" s="1" t="s">
        <v>30</v>
      </c>
    </row>
    <row r="20" customFormat="false" ht="15" hidden="false" customHeight="false" outlineLevel="0" collapsed="false">
      <c r="A20" s="1" t="s">
        <v>57</v>
      </c>
      <c r="B20" s="8" t="s">
        <v>64</v>
      </c>
      <c r="C20" s="1" t="s">
        <v>59</v>
      </c>
      <c r="D20" s="1" t="s">
        <v>65</v>
      </c>
      <c r="E20" s="1" t="s">
        <v>41</v>
      </c>
      <c r="F20" s="1" t="s">
        <v>30</v>
      </c>
    </row>
    <row r="21" customFormat="false" ht="15" hidden="false" customHeight="false" outlineLevel="0" collapsed="false">
      <c r="A21" s="1" t="s">
        <v>57</v>
      </c>
      <c r="B21" s="8" t="s">
        <v>66</v>
      </c>
      <c r="C21" s="1" t="s">
        <v>67</v>
      </c>
      <c r="D21" s="1" t="s">
        <v>68</v>
      </c>
      <c r="E21" s="1" t="s">
        <v>41</v>
      </c>
      <c r="F21" s="1" t="s">
        <v>30</v>
      </c>
    </row>
    <row r="22" customFormat="false" ht="15" hidden="false" customHeight="false" outlineLevel="0" collapsed="false">
      <c r="A22" s="1" t="s">
        <v>57</v>
      </c>
      <c r="B22" s="8" t="s">
        <v>69</v>
      </c>
      <c r="C22" s="1" t="s">
        <v>70</v>
      </c>
      <c r="D22" s="1" t="s">
        <v>44</v>
      </c>
      <c r="E22" s="1" t="s">
        <v>41</v>
      </c>
      <c r="F22" s="1" t="s">
        <v>30</v>
      </c>
    </row>
    <row r="23" customFormat="false" ht="15" hidden="false" customHeight="false" outlineLevel="0" collapsed="false">
      <c r="A23" s="1" t="s">
        <v>57</v>
      </c>
      <c r="B23" s="8" t="s">
        <v>71</v>
      </c>
      <c r="C23" s="1" t="s">
        <v>72</v>
      </c>
      <c r="D23" s="1" t="s">
        <v>73</v>
      </c>
      <c r="E23" s="1" t="s">
        <v>41</v>
      </c>
      <c r="F23" s="1" t="s">
        <v>30</v>
      </c>
    </row>
    <row r="24" customFormat="false" ht="15" hidden="false" customHeight="false" outlineLevel="0" collapsed="false">
      <c r="A24" s="1" t="s">
        <v>57</v>
      </c>
      <c r="B24" s="8" t="s">
        <v>74</v>
      </c>
      <c r="C24" s="1" t="s">
        <v>59</v>
      </c>
      <c r="D24" s="1" t="s">
        <v>75</v>
      </c>
      <c r="E24" s="1" t="s">
        <v>41</v>
      </c>
      <c r="F24" s="1" t="s">
        <v>30</v>
      </c>
    </row>
    <row r="25" customFormat="false" ht="15" hidden="false" customHeight="false" outlineLevel="0" collapsed="false">
      <c r="A25" s="1" t="s">
        <v>57</v>
      </c>
      <c r="B25" s="8" t="s">
        <v>76</v>
      </c>
      <c r="C25" s="1" t="s">
        <v>67</v>
      </c>
      <c r="D25" s="1" t="s">
        <v>77</v>
      </c>
      <c r="E25" s="1" t="s">
        <v>41</v>
      </c>
      <c r="F25" s="1" t="s">
        <v>30</v>
      </c>
    </row>
    <row r="26" customFormat="false" ht="15" hidden="false" customHeight="false" outlineLevel="0" collapsed="false">
      <c r="A26" s="1" t="s">
        <v>57</v>
      </c>
      <c r="B26" s="8" t="s">
        <v>78</v>
      </c>
      <c r="C26" s="1" t="s">
        <v>67</v>
      </c>
      <c r="D26" s="1" t="s">
        <v>79</v>
      </c>
      <c r="E26" s="1" t="s">
        <v>41</v>
      </c>
      <c r="F26" s="1" t="s">
        <v>30</v>
      </c>
    </row>
    <row r="27" customFormat="false" ht="15" hidden="false" customHeight="false" outlineLevel="0" collapsed="false">
      <c r="A27" s="1" t="s">
        <v>57</v>
      </c>
      <c r="B27" s="8" t="s">
        <v>80</v>
      </c>
      <c r="C27" s="1" t="s">
        <v>81</v>
      </c>
      <c r="D27" s="1" t="s">
        <v>44</v>
      </c>
      <c r="E27" s="1" t="s">
        <v>41</v>
      </c>
      <c r="F27" s="1" t="s">
        <v>30</v>
      </c>
    </row>
    <row r="28" customFormat="false" ht="15" hidden="false" customHeight="false" outlineLevel="0" collapsed="false">
      <c r="A28" s="1" t="s">
        <v>57</v>
      </c>
      <c r="B28" s="8" t="s">
        <v>82</v>
      </c>
      <c r="C28" s="1" t="s">
        <v>83</v>
      </c>
      <c r="D28" s="1" t="s">
        <v>84</v>
      </c>
      <c r="E28" s="1" t="s">
        <v>41</v>
      </c>
      <c r="F28" s="1" t="s">
        <v>30</v>
      </c>
    </row>
    <row r="29" customFormat="false" ht="15" hidden="false" customHeight="false" outlineLevel="0" collapsed="false">
      <c r="A29" s="1" t="s">
        <v>57</v>
      </c>
      <c r="B29" s="8" t="s">
        <v>85</v>
      </c>
      <c r="C29" s="1" t="s">
        <v>59</v>
      </c>
      <c r="D29" s="1" t="s">
        <v>86</v>
      </c>
      <c r="E29" s="1" t="s">
        <v>41</v>
      </c>
      <c r="F29" s="1" t="s">
        <v>30</v>
      </c>
    </row>
    <row r="30" customFormat="false" ht="15" hidden="false" customHeight="false" outlineLevel="0" collapsed="false">
      <c r="A30" s="1" t="s">
        <v>57</v>
      </c>
      <c r="B30" s="8" t="s">
        <v>87</v>
      </c>
      <c r="C30" s="1" t="s">
        <v>88</v>
      </c>
      <c r="D30" s="1" t="s">
        <v>89</v>
      </c>
      <c r="E30" s="1" t="s">
        <v>41</v>
      </c>
      <c r="F30" s="1" t="s">
        <v>30</v>
      </c>
    </row>
    <row r="31" customFormat="false" ht="15" hidden="false" customHeight="false" outlineLevel="0" collapsed="false">
      <c r="A31" s="1" t="s">
        <v>57</v>
      </c>
      <c r="B31" s="8" t="s">
        <v>90</v>
      </c>
      <c r="C31" s="1" t="s">
        <v>91</v>
      </c>
      <c r="D31" s="1" t="s">
        <v>44</v>
      </c>
      <c r="E31" s="1" t="s">
        <v>41</v>
      </c>
      <c r="F31" s="1" t="s">
        <v>30</v>
      </c>
    </row>
    <row r="32" customFormat="false" ht="15" hidden="false" customHeight="false" outlineLevel="0" collapsed="false">
      <c r="A32" s="1" t="s">
        <v>57</v>
      </c>
      <c r="B32" s="8" t="s">
        <v>92</v>
      </c>
      <c r="C32" s="1" t="s">
        <v>93</v>
      </c>
      <c r="D32" s="1" t="s">
        <v>94</v>
      </c>
      <c r="E32" s="1" t="s">
        <v>41</v>
      </c>
      <c r="F32" s="1" t="s">
        <v>30</v>
      </c>
    </row>
    <row r="33" customFormat="false" ht="15" hidden="false" customHeight="false" outlineLevel="0" collapsed="false">
      <c r="A33" s="1" t="s">
        <v>57</v>
      </c>
      <c r="B33" s="8" t="s">
        <v>95</v>
      </c>
      <c r="C33" s="1" t="s">
        <v>59</v>
      </c>
      <c r="D33" s="1" t="s">
        <v>96</v>
      </c>
      <c r="E33" s="1" t="s">
        <v>41</v>
      </c>
      <c r="F33" s="1" t="s">
        <v>30</v>
      </c>
    </row>
    <row r="34" customFormat="false" ht="15" hidden="false" customHeight="false" outlineLevel="0" collapsed="false">
      <c r="A34" s="1" t="s">
        <v>97</v>
      </c>
      <c r="B34" s="8" t="s">
        <v>98</v>
      </c>
      <c r="C34" s="1" t="s">
        <v>88</v>
      </c>
      <c r="D34" s="1" t="s">
        <v>99</v>
      </c>
      <c r="E34" s="1" t="s">
        <v>41</v>
      </c>
      <c r="F34" s="1" t="s">
        <v>30</v>
      </c>
    </row>
    <row r="35" customFormat="false" ht="15" hidden="false" customHeight="false" outlineLevel="0" collapsed="false">
      <c r="A35" s="1" t="s">
        <v>97</v>
      </c>
      <c r="B35" s="8" t="s">
        <v>100</v>
      </c>
      <c r="C35" s="1" t="s">
        <v>101</v>
      </c>
      <c r="D35" s="1" t="s">
        <v>44</v>
      </c>
      <c r="E35" s="1" t="s">
        <v>41</v>
      </c>
      <c r="F35" s="1" t="s">
        <v>30</v>
      </c>
    </row>
    <row r="36" customFormat="false" ht="15" hidden="false" customHeight="false" outlineLevel="0" collapsed="false">
      <c r="A36" s="1" t="s">
        <v>97</v>
      </c>
      <c r="B36" s="8" t="s">
        <v>102</v>
      </c>
      <c r="C36" s="1" t="s">
        <v>103</v>
      </c>
      <c r="D36" s="1" t="s">
        <v>104</v>
      </c>
      <c r="E36" s="1" t="s">
        <v>41</v>
      </c>
      <c r="F36" s="1" t="s">
        <v>30</v>
      </c>
    </row>
    <row r="37" customFormat="false" ht="15" hidden="false" customHeight="false" outlineLevel="0" collapsed="false">
      <c r="A37" s="1" t="s">
        <v>97</v>
      </c>
      <c r="B37" s="8" t="s">
        <v>105</v>
      </c>
      <c r="C37" s="1" t="s">
        <v>59</v>
      </c>
      <c r="D37" s="1" t="s">
        <v>106</v>
      </c>
      <c r="E37" s="1" t="s">
        <v>41</v>
      </c>
      <c r="F37" s="1" t="s">
        <v>30</v>
      </c>
    </row>
    <row r="38" customFormat="false" ht="15" hidden="false" customHeight="false" outlineLevel="0" collapsed="false">
      <c r="A38" s="1" t="s">
        <v>97</v>
      </c>
      <c r="B38" s="8" t="s">
        <v>107</v>
      </c>
      <c r="C38" s="1" t="s">
        <v>88</v>
      </c>
      <c r="D38" s="1" t="s">
        <v>108</v>
      </c>
      <c r="E38" s="1" t="s">
        <v>41</v>
      </c>
      <c r="F38" s="1" t="s">
        <v>30</v>
      </c>
    </row>
    <row r="39" customFormat="false" ht="15" hidden="false" customHeight="false" outlineLevel="0" collapsed="false">
      <c r="A39" s="1" t="s">
        <v>97</v>
      </c>
      <c r="B39" s="8" t="s">
        <v>109</v>
      </c>
      <c r="C39" s="1" t="s">
        <v>110</v>
      </c>
      <c r="D39" s="1" t="s">
        <v>44</v>
      </c>
      <c r="E39" s="1" t="s">
        <v>41</v>
      </c>
      <c r="F39" s="1" t="s">
        <v>30</v>
      </c>
    </row>
    <row r="40" customFormat="false" ht="15" hidden="false" customHeight="false" outlineLevel="0" collapsed="false">
      <c r="A40" s="1" t="s">
        <v>97</v>
      </c>
      <c r="B40" s="8" t="s">
        <v>111</v>
      </c>
      <c r="C40" s="1" t="s">
        <v>112</v>
      </c>
      <c r="D40" s="1" t="s">
        <v>113</v>
      </c>
      <c r="E40" s="1" t="s">
        <v>41</v>
      </c>
      <c r="F40" s="1" t="s">
        <v>30</v>
      </c>
    </row>
    <row r="41" customFormat="false" ht="15" hidden="false" customHeight="false" outlineLevel="0" collapsed="false">
      <c r="A41" s="1" t="s">
        <v>97</v>
      </c>
      <c r="B41" s="8" t="s">
        <v>114</v>
      </c>
      <c r="C41" s="1" t="s">
        <v>59</v>
      </c>
      <c r="D41" s="1" t="s">
        <v>115</v>
      </c>
      <c r="E41" s="1" t="s">
        <v>41</v>
      </c>
      <c r="F41" s="1" t="s">
        <v>30</v>
      </c>
    </row>
    <row r="42" customFormat="false" ht="15" hidden="false" customHeight="false" outlineLevel="0" collapsed="false">
      <c r="A42" s="1" t="s">
        <v>97</v>
      </c>
      <c r="B42" s="8" t="s">
        <v>116</v>
      </c>
      <c r="C42" s="1" t="s">
        <v>88</v>
      </c>
      <c r="D42" s="1" t="s">
        <v>117</v>
      </c>
      <c r="E42" s="1" t="s">
        <v>41</v>
      </c>
      <c r="F42" s="1" t="s">
        <v>30</v>
      </c>
    </row>
    <row r="43" customFormat="false" ht="15" hidden="false" customHeight="false" outlineLevel="0" collapsed="false">
      <c r="A43" s="1" t="s">
        <v>97</v>
      </c>
      <c r="B43" s="8" t="s">
        <v>118</v>
      </c>
      <c r="C43" s="1" t="s">
        <v>119</v>
      </c>
      <c r="D43" s="1" t="s">
        <v>44</v>
      </c>
      <c r="E43" s="1" t="s">
        <v>41</v>
      </c>
      <c r="F43" s="1" t="s">
        <v>30</v>
      </c>
    </row>
    <row r="44" customFormat="false" ht="15" hidden="false" customHeight="false" outlineLevel="0" collapsed="false">
      <c r="A44" s="1" t="s">
        <v>97</v>
      </c>
      <c r="B44" s="8" t="s">
        <v>120</v>
      </c>
      <c r="C44" s="1" t="s">
        <v>121</v>
      </c>
      <c r="D44" s="1" t="s">
        <v>122</v>
      </c>
      <c r="E44" s="1" t="s">
        <v>41</v>
      </c>
      <c r="F44" s="1" t="s">
        <v>30</v>
      </c>
    </row>
    <row r="45" customFormat="false" ht="15" hidden="false" customHeight="false" outlineLevel="0" collapsed="false">
      <c r="A45" s="1" t="s">
        <v>97</v>
      </c>
      <c r="B45" s="8" t="s">
        <v>123</v>
      </c>
      <c r="C45" s="1" t="s">
        <v>59</v>
      </c>
      <c r="D45" s="1" t="s">
        <v>124</v>
      </c>
      <c r="E45" s="1" t="s">
        <v>41</v>
      </c>
      <c r="F45" s="1" t="s">
        <v>30</v>
      </c>
    </row>
    <row r="46" customFormat="false" ht="15" hidden="false" customHeight="false" outlineLevel="0" collapsed="false">
      <c r="A46" s="1" t="s">
        <v>125</v>
      </c>
      <c r="B46" s="8" t="n">
        <v>2016</v>
      </c>
      <c r="C46" s="1" t="s">
        <v>67</v>
      </c>
      <c r="D46" s="1" t="s">
        <v>126</v>
      </c>
      <c r="E46" s="1" t="s">
        <v>41</v>
      </c>
      <c r="F46" s="1" t="s">
        <v>30</v>
      </c>
    </row>
    <row r="47" customFormat="false" ht="15" hidden="false" customHeight="false" outlineLevel="0" collapsed="false">
      <c r="A47" s="1" t="s">
        <v>125</v>
      </c>
      <c r="B47" s="8" t="n">
        <v>2017</v>
      </c>
      <c r="C47" s="1" t="s">
        <v>127</v>
      </c>
      <c r="D47" s="1" t="s">
        <v>44</v>
      </c>
      <c r="E47" s="1" t="s">
        <v>41</v>
      </c>
      <c r="F47" s="1" t="s">
        <v>30</v>
      </c>
    </row>
    <row r="48" customFormat="false" ht="15" hidden="false" customHeight="false" outlineLevel="0" collapsed="false">
      <c r="A48" s="1" t="s">
        <v>125</v>
      </c>
      <c r="B48" s="8" t="n">
        <v>2018</v>
      </c>
      <c r="C48" s="1" t="s">
        <v>128</v>
      </c>
      <c r="D48" s="1" t="s">
        <v>129</v>
      </c>
      <c r="E48" s="1" t="s">
        <v>41</v>
      </c>
      <c r="F48" s="1" t="s">
        <v>30</v>
      </c>
    </row>
    <row r="49" customFormat="false" ht="15" hidden="false" customHeight="false" outlineLevel="0" collapsed="false">
      <c r="A49" s="1" t="s">
        <v>125</v>
      </c>
      <c r="B49" s="8" t="n">
        <v>2019</v>
      </c>
      <c r="C49" s="1" t="s">
        <v>67</v>
      </c>
      <c r="D49" s="1" t="s">
        <v>130</v>
      </c>
      <c r="E49" s="1" t="s">
        <v>41</v>
      </c>
      <c r="F49" s="1" t="s">
        <v>30</v>
      </c>
    </row>
    <row r="50" customFormat="false" ht="15" hidden="false" customHeight="false" outlineLevel="0" collapsed="false">
      <c r="A50" s="1" t="s">
        <v>125</v>
      </c>
      <c r="B50" s="8" t="n">
        <v>2020</v>
      </c>
      <c r="C50" s="1" t="s">
        <v>131</v>
      </c>
      <c r="D50" s="1" t="s">
        <v>44</v>
      </c>
      <c r="E50" s="1" t="s">
        <v>41</v>
      </c>
      <c r="F50" s="1" t="s">
        <v>30</v>
      </c>
    </row>
    <row r="51" customFormat="false" ht="15" hidden="false" customHeight="false" outlineLevel="0" collapsed="false">
      <c r="A51" s="1" t="s">
        <v>125</v>
      </c>
      <c r="B51" s="8" t="n">
        <v>2021</v>
      </c>
      <c r="C51" s="1" t="s">
        <v>132</v>
      </c>
      <c r="D51" s="1" t="s">
        <v>133</v>
      </c>
      <c r="E51" s="1" t="s">
        <v>41</v>
      </c>
      <c r="F51" s="1" t="s">
        <v>30</v>
      </c>
    </row>
    <row r="52" customFormat="false" ht="15" hidden="false" customHeight="false" outlineLevel="0" collapsed="false">
      <c r="A52" s="1" t="s">
        <v>125</v>
      </c>
      <c r="B52" s="8" t="n">
        <v>2022</v>
      </c>
      <c r="C52" s="1" t="s">
        <v>134</v>
      </c>
      <c r="D52" s="1" t="s">
        <v>135</v>
      </c>
      <c r="E52" s="1" t="s">
        <v>41</v>
      </c>
      <c r="F52" s="1" t="s">
        <v>30</v>
      </c>
    </row>
    <row r="53" customFormat="false" ht="15" hidden="false" customHeight="false" outlineLevel="0" collapsed="false">
      <c r="A53" s="1" t="s">
        <v>125</v>
      </c>
      <c r="B53" s="8" t="n">
        <v>2024</v>
      </c>
      <c r="C53" s="1" t="s">
        <v>67</v>
      </c>
      <c r="D53" s="1" t="s">
        <v>136</v>
      </c>
      <c r="E53" s="1" t="s">
        <v>41</v>
      </c>
      <c r="F53" s="1" t="s">
        <v>30</v>
      </c>
    </row>
    <row r="54" customFormat="false" ht="15" hidden="false" customHeight="false" outlineLevel="0" collapsed="false">
      <c r="A54" s="1" t="s">
        <v>125</v>
      </c>
      <c r="B54" s="8" t="n">
        <v>2025</v>
      </c>
      <c r="C54" s="1" t="s">
        <v>137</v>
      </c>
      <c r="D54" s="1" t="s">
        <v>44</v>
      </c>
      <c r="E54" s="1" t="s">
        <v>41</v>
      </c>
      <c r="F54" s="1" t="s">
        <v>30</v>
      </c>
    </row>
    <row r="55" customFormat="false" ht="15" hidden="false" customHeight="false" outlineLevel="0" collapsed="false">
      <c r="A55" s="1" t="s">
        <v>125</v>
      </c>
      <c r="B55" s="8" t="n">
        <v>2026</v>
      </c>
      <c r="C55" s="1" t="s">
        <v>138</v>
      </c>
      <c r="D55" s="1" t="s">
        <v>139</v>
      </c>
      <c r="E55" s="1" t="s">
        <v>41</v>
      </c>
      <c r="F55" s="1" t="s">
        <v>30</v>
      </c>
    </row>
    <row r="56" customFormat="false" ht="15" hidden="false" customHeight="false" outlineLevel="0" collapsed="false">
      <c r="A56" s="1" t="s">
        <v>140</v>
      </c>
      <c r="B56" s="1" t="n">
        <v>2030</v>
      </c>
      <c r="C56" s="1" t="s">
        <v>67</v>
      </c>
      <c r="D56" s="1" t="s">
        <v>141</v>
      </c>
      <c r="E56" s="1" t="s">
        <v>41</v>
      </c>
      <c r="F56" s="1" t="s">
        <v>30</v>
      </c>
    </row>
    <row r="57" customFormat="false" ht="15" hidden="false" customHeight="false" outlineLevel="0" collapsed="false">
      <c r="A57" s="1" t="s">
        <v>140</v>
      </c>
      <c r="B57" s="1" t="n">
        <v>2031</v>
      </c>
      <c r="C57" s="1" t="s">
        <v>142</v>
      </c>
      <c r="D57" s="1" t="s">
        <v>44</v>
      </c>
      <c r="E57" s="1" t="s">
        <v>41</v>
      </c>
      <c r="F57" s="1" t="s">
        <v>30</v>
      </c>
    </row>
    <row r="58" customFormat="false" ht="15" hidden="false" customHeight="false" outlineLevel="0" collapsed="false">
      <c r="A58" s="1" t="s">
        <v>140</v>
      </c>
      <c r="B58" s="1" t="n">
        <v>2032</v>
      </c>
      <c r="C58" s="1" t="s">
        <v>143</v>
      </c>
      <c r="D58" s="1" t="s">
        <v>144</v>
      </c>
      <c r="E58" s="1" t="s">
        <v>41</v>
      </c>
      <c r="F58" s="1" t="s">
        <v>30</v>
      </c>
    </row>
    <row r="59" customFormat="false" ht="15" hidden="false" customHeight="false" outlineLevel="0" collapsed="false">
      <c r="A59" s="1" t="s">
        <v>140</v>
      </c>
      <c r="B59" s="1" t="n">
        <v>2039</v>
      </c>
      <c r="C59" s="1" t="s">
        <v>134</v>
      </c>
      <c r="D59" s="1" t="s">
        <v>145</v>
      </c>
      <c r="E59" s="1" t="s">
        <v>146</v>
      </c>
      <c r="F59" s="1" t="s">
        <v>30</v>
      </c>
    </row>
    <row r="60" customFormat="false" ht="15" hidden="false" customHeight="false" outlineLevel="0" collapsed="false">
      <c r="A60" s="1" t="s">
        <v>140</v>
      </c>
      <c r="B60" s="1" t="n">
        <v>2033</v>
      </c>
      <c r="C60" s="1" t="s">
        <v>67</v>
      </c>
      <c r="D60" s="1" t="s">
        <v>147</v>
      </c>
      <c r="E60" s="1" t="s">
        <v>41</v>
      </c>
      <c r="F60" s="1" t="s">
        <v>30</v>
      </c>
    </row>
    <row r="61" customFormat="false" ht="15" hidden="false" customHeight="false" outlineLevel="0" collapsed="false">
      <c r="A61" s="1" t="s">
        <v>140</v>
      </c>
      <c r="B61" s="1" t="n">
        <v>2034</v>
      </c>
      <c r="C61" s="1" t="s">
        <v>148</v>
      </c>
      <c r="D61" s="1" t="s">
        <v>44</v>
      </c>
      <c r="E61" s="1" t="s">
        <v>41</v>
      </c>
      <c r="F61" s="1" t="s">
        <v>30</v>
      </c>
    </row>
    <row r="62" customFormat="false" ht="15" hidden="false" customHeight="false" outlineLevel="0" collapsed="false">
      <c r="A62" s="1" t="s">
        <v>140</v>
      </c>
      <c r="B62" s="1" t="n">
        <v>2035</v>
      </c>
      <c r="C62" s="1" t="s">
        <v>149</v>
      </c>
      <c r="D62" s="1" t="s">
        <v>150</v>
      </c>
      <c r="E62" s="1" t="s">
        <v>41</v>
      </c>
      <c r="F62" s="1" t="s">
        <v>30</v>
      </c>
    </row>
    <row r="63" customFormat="false" ht="15" hidden="false" customHeight="false" outlineLevel="0" collapsed="false">
      <c r="A63" s="1" t="s">
        <v>140</v>
      </c>
      <c r="B63" s="1" t="n">
        <v>2041</v>
      </c>
      <c r="C63" s="1" t="s">
        <v>134</v>
      </c>
      <c r="D63" s="1" t="s">
        <v>151</v>
      </c>
      <c r="E63" s="1" t="s">
        <v>146</v>
      </c>
      <c r="F63" s="1" t="s">
        <v>30</v>
      </c>
    </row>
    <row r="64" customFormat="false" ht="15" hidden="false" customHeight="false" outlineLevel="0" collapsed="false">
      <c r="A64" s="1" t="s">
        <v>140</v>
      </c>
      <c r="B64" s="1" t="n">
        <v>2036</v>
      </c>
      <c r="C64" s="1" t="s">
        <v>67</v>
      </c>
      <c r="D64" s="1" t="s">
        <v>147</v>
      </c>
      <c r="E64" s="1" t="s">
        <v>41</v>
      </c>
      <c r="F64" s="1" t="s">
        <v>30</v>
      </c>
    </row>
    <row r="65" customFormat="false" ht="15" hidden="false" customHeight="false" outlineLevel="0" collapsed="false">
      <c r="A65" s="1" t="s">
        <v>140</v>
      </c>
      <c r="B65" s="1" t="n">
        <v>2043</v>
      </c>
      <c r="C65" s="1" t="s">
        <v>152</v>
      </c>
      <c r="D65" s="1" t="s">
        <v>44</v>
      </c>
      <c r="E65" s="1" t="s">
        <v>41</v>
      </c>
      <c r="F65" s="1" t="s">
        <v>30</v>
      </c>
    </row>
    <row r="66" customFormat="false" ht="15" hidden="false" customHeight="false" outlineLevel="0" collapsed="false">
      <c r="A66" s="1" t="s">
        <v>140</v>
      </c>
      <c r="B66" s="1" t="n">
        <v>2044</v>
      </c>
      <c r="C66" s="1" t="s">
        <v>153</v>
      </c>
      <c r="D66" s="1" t="s">
        <v>154</v>
      </c>
      <c r="E66" s="1" t="s">
        <v>41</v>
      </c>
      <c r="F66" s="1" t="s">
        <v>30</v>
      </c>
    </row>
    <row r="67" customFormat="false" ht="15" hidden="false" customHeight="false" outlineLevel="0" collapsed="false">
      <c r="A67" s="1" t="s">
        <v>140</v>
      </c>
      <c r="B67" s="1" t="n">
        <v>2045</v>
      </c>
      <c r="C67" s="1" t="s">
        <v>134</v>
      </c>
      <c r="D67" s="1" t="s">
        <v>151</v>
      </c>
      <c r="E67" s="1" t="s">
        <v>146</v>
      </c>
      <c r="F67" s="1" t="s">
        <v>30</v>
      </c>
    </row>
    <row r="68" customFormat="false" ht="37.3" hidden="false" customHeight="false" outlineLevel="0" collapsed="false">
      <c r="A68" s="1" t="s">
        <v>140</v>
      </c>
      <c r="B68" s="1" t="n">
        <v>2063</v>
      </c>
      <c r="C68" s="12" t="s">
        <v>155</v>
      </c>
      <c r="D68" s="13" t="s">
        <v>156</v>
      </c>
      <c r="E68" s="1" t="s">
        <v>41</v>
      </c>
      <c r="F68" s="1" t="s">
        <v>30</v>
      </c>
    </row>
    <row r="69" customFormat="false" ht="15" hidden="false" customHeight="false" outlineLevel="0" collapsed="false">
      <c r="A69" s="1" t="s">
        <v>140</v>
      </c>
      <c r="B69" s="1" t="n">
        <v>2165</v>
      </c>
      <c r="C69" s="12" t="s">
        <v>157</v>
      </c>
      <c r="D69" s="1" t="s">
        <v>158</v>
      </c>
      <c r="E69" s="1" t="s">
        <v>41</v>
      </c>
      <c r="F69" s="1" t="s">
        <v>30</v>
      </c>
    </row>
  </sheetData>
  <mergeCells count="3">
    <mergeCell ref="A1:G1"/>
    <mergeCell ref="I1:K1"/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29.11"/>
    <col collapsed="false" customWidth="true" hidden="false" outlineLevel="0" max="3" min="3" style="1" width="63.29"/>
    <col collapsed="false" customWidth="true" hidden="false" outlineLevel="0" max="4" min="4" style="1" width="28.73"/>
  </cols>
  <sheetData>
    <row r="1" customFormat="false" ht="15" hidden="false" customHeight="false" outlineLevel="0" collapsed="false">
      <c r="A1" s="9" t="s">
        <v>159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9"/>
      <c r="B2" s="9"/>
      <c r="C2" s="9"/>
      <c r="D2" s="9"/>
      <c r="E2" s="9"/>
      <c r="F2" s="9"/>
      <c r="G2" s="9"/>
      <c r="H2" s="9"/>
    </row>
    <row r="3" customFormat="false" ht="15" hidden="false" customHeight="false" outlineLevel="0" collapsed="false"/>
    <row r="4" customFormat="false" ht="15" hidden="false" customHeight="false" outlineLevel="0" collapsed="false">
      <c r="A4" s="7" t="s">
        <v>7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11</v>
      </c>
      <c r="G4" s="7" t="s">
        <v>24</v>
      </c>
      <c r="H4" s="7"/>
      <c r="I4" s="1" t="s">
        <v>25</v>
      </c>
      <c r="K4" s="1" t="n">
        <f aca="false">COUNTIF(F5:F483,"Entregue")</f>
        <v>0</v>
      </c>
    </row>
    <row r="5" customFormat="false" ht="15" hidden="false" customHeight="false" outlineLevel="0" collapsed="false">
      <c r="A5" s="1" t="s">
        <v>160</v>
      </c>
      <c r="B5" s="1"/>
      <c r="E5" s="1" t="s">
        <v>41</v>
      </c>
      <c r="F5" s="1"/>
    </row>
    <row r="6" customFormat="false" ht="15" hidden="false" customHeight="false" outlineLevel="0" collapsed="false">
      <c r="B6" s="1"/>
      <c r="E6" s="1" t="s">
        <v>41</v>
      </c>
      <c r="F6" s="1"/>
    </row>
    <row r="7" customFormat="false" ht="15" hidden="false" customHeight="false" outlineLevel="0" collapsed="false">
      <c r="B7" s="1"/>
      <c r="E7" s="1" t="s">
        <v>41</v>
      </c>
      <c r="F7" s="1"/>
    </row>
    <row r="8" customFormat="false" ht="15" hidden="false" customHeight="false" outlineLevel="0" collapsed="false">
      <c r="B8" s="1"/>
      <c r="E8" s="1" t="s">
        <v>146</v>
      </c>
      <c r="F8" s="1"/>
    </row>
    <row r="9" customFormat="false" ht="15" hidden="false" customHeight="false" outlineLevel="0" collapsed="false">
      <c r="B9" s="1"/>
      <c r="E9" s="1" t="s">
        <v>41</v>
      </c>
      <c r="F9" s="1"/>
    </row>
    <row r="10" customFormat="false" ht="15" hidden="false" customHeight="false" outlineLevel="0" collapsed="false">
      <c r="B10" s="1"/>
      <c r="E10" s="1" t="s">
        <v>41</v>
      </c>
      <c r="F10" s="1"/>
    </row>
    <row r="11" customFormat="false" ht="15" hidden="false" customHeight="false" outlineLevel="0" collapsed="false">
      <c r="B11" s="1"/>
      <c r="E11" s="1" t="s">
        <v>41</v>
      </c>
      <c r="F11" s="1"/>
    </row>
    <row r="12" customFormat="false" ht="15" hidden="false" customHeight="false" outlineLevel="0" collapsed="false">
      <c r="B12" s="1"/>
      <c r="E12" s="1" t="s">
        <v>146</v>
      </c>
      <c r="F12" s="1"/>
    </row>
    <row r="13" customFormat="false" ht="15" hidden="false" customHeight="false" outlineLevel="0" collapsed="false">
      <c r="B13" s="1"/>
      <c r="E13" s="1" t="s">
        <v>41</v>
      </c>
      <c r="F13" s="1"/>
    </row>
    <row r="14" customFormat="false" ht="15" hidden="false" customHeight="false" outlineLevel="0" collapsed="false">
      <c r="B14" s="1"/>
      <c r="E14" s="1" t="s">
        <v>41</v>
      </c>
      <c r="F14" s="1"/>
    </row>
    <row r="15" customFormat="false" ht="15" hidden="false" customHeight="false" outlineLevel="0" collapsed="false">
      <c r="B15" s="1"/>
      <c r="E15" s="1" t="s">
        <v>41</v>
      </c>
      <c r="F15" s="1"/>
    </row>
    <row r="16" customFormat="false" ht="15" hidden="false" customHeight="false" outlineLevel="0" collapsed="false">
      <c r="B16" s="1"/>
      <c r="E16" s="1" t="s">
        <v>146</v>
      </c>
      <c r="F16" s="1"/>
    </row>
    <row r="17" customFormat="false" ht="15" hidden="false" customHeight="false" outlineLevel="0" collapsed="false">
      <c r="B17" s="1"/>
      <c r="C17" s="12"/>
      <c r="D17" s="13"/>
      <c r="E17" s="1" t="s">
        <v>41</v>
      </c>
      <c r="F17" s="1"/>
    </row>
    <row r="18" customFormat="false" ht="15" hidden="false" customHeight="false" outlineLevel="0" collapsed="false">
      <c r="B18" s="1"/>
      <c r="C18" s="12"/>
      <c r="E18" s="1" t="s">
        <v>41</v>
      </c>
      <c r="F18" s="1"/>
    </row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</sheetData>
  <mergeCells count="1">
    <mergeCell ref="A1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F10" activeCellId="0" sqref="F10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2" min="2" style="1" width="33.92"/>
    <col collapsed="false" customWidth="true" hidden="false" outlineLevel="0" max="3" min="3" style="1" width="48.1"/>
    <col collapsed="false" customWidth="true" hidden="false" outlineLevel="0" max="4" min="4" style="1" width="23.8"/>
    <col collapsed="false" customWidth="true" hidden="false" outlineLevel="0" max="5" min="5" style="1" width="15.82"/>
    <col collapsed="false" customWidth="true" hidden="false" outlineLevel="0" max="6" min="6" style="1" width="20"/>
    <col collapsed="false" customWidth="true" hidden="false" outlineLevel="0" max="7" min="7" style="1" width="14.42"/>
  </cols>
  <sheetData>
    <row r="1" customFormat="false" ht="12.8" hidden="false" customHeight="false" outlineLevel="0" collapsed="false">
      <c r="A1" s="6" t="s">
        <v>161</v>
      </c>
      <c r="B1" s="6"/>
      <c r="C1" s="6"/>
      <c r="D1" s="6"/>
      <c r="E1" s="6"/>
      <c r="F1" s="6"/>
      <c r="G1" s="6"/>
    </row>
    <row r="2" customFormat="false" ht="12.8" hidden="false" customHeight="false" outlineLevel="0" collapsed="false">
      <c r="A2" s="6"/>
      <c r="B2" s="6"/>
      <c r="C2" s="6"/>
      <c r="D2" s="6"/>
      <c r="E2" s="6"/>
      <c r="F2" s="6"/>
      <c r="G2" s="6"/>
    </row>
    <row r="3" customFormat="false" ht="15" hidden="false" customHeight="false" outlineLevel="0" collapsed="false"/>
    <row r="4" customFormat="false" ht="15" hidden="false" customHeight="false" outlineLevel="0" collapsed="false">
      <c r="A4" s="7" t="s">
        <v>20</v>
      </c>
      <c r="B4" s="7" t="s">
        <v>162</v>
      </c>
      <c r="C4" s="7" t="s">
        <v>163</v>
      </c>
      <c r="D4" s="7" t="s">
        <v>23</v>
      </c>
      <c r="E4" s="7" t="s">
        <v>164</v>
      </c>
      <c r="F4" s="7" t="s">
        <v>11</v>
      </c>
      <c r="G4" s="7" t="s">
        <v>165</v>
      </c>
    </row>
    <row r="5" customFormat="false" ht="15" hidden="false" customHeight="false" outlineLevel="0" collapsed="false">
      <c r="A5" s="14" t="s">
        <v>166</v>
      </c>
      <c r="B5" s="14" t="s">
        <v>167</v>
      </c>
      <c r="C5" s="14" t="s">
        <v>168</v>
      </c>
      <c r="D5" s="14" t="s">
        <v>169</v>
      </c>
      <c r="E5" s="15" t="n">
        <v>46290</v>
      </c>
      <c r="F5" s="14" t="s">
        <v>170</v>
      </c>
      <c r="G5" s="14" t="s">
        <v>171</v>
      </c>
    </row>
    <row r="6" customFormat="false" ht="15" hidden="false" customHeight="false" outlineLevel="0" collapsed="false">
      <c r="A6" s="14" t="s">
        <v>172</v>
      </c>
      <c r="B6" s="14" t="s">
        <v>173</v>
      </c>
      <c r="C6" s="14" t="s">
        <v>174</v>
      </c>
      <c r="D6" s="14" t="s">
        <v>175</v>
      </c>
      <c r="E6" s="15" t="n">
        <v>46290</v>
      </c>
      <c r="F6" s="14" t="s">
        <v>170</v>
      </c>
      <c r="G6" s="14" t="s">
        <v>171</v>
      </c>
    </row>
    <row r="7" customFormat="false" ht="15" hidden="false" customHeight="false" outlineLevel="0" collapsed="false">
      <c r="A7" s="14" t="s">
        <v>176</v>
      </c>
      <c r="B7" s="14" t="s">
        <v>177</v>
      </c>
      <c r="C7" s="14" t="s">
        <v>174</v>
      </c>
      <c r="D7" s="14" t="s">
        <v>175</v>
      </c>
      <c r="E7" s="15" t="n">
        <v>46290</v>
      </c>
      <c r="F7" s="14" t="s">
        <v>178</v>
      </c>
      <c r="G7" s="14" t="s">
        <v>171</v>
      </c>
    </row>
    <row r="8" customFormat="false" ht="15" hidden="false" customHeight="false" outlineLevel="0" collapsed="false">
      <c r="A8" s="14" t="s">
        <v>179</v>
      </c>
      <c r="B8" s="14" t="s">
        <v>180</v>
      </c>
      <c r="C8" s="14" t="s">
        <v>181</v>
      </c>
      <c r="D8" s="14" t="s">
        <v>169</v>
      </c>
      <c r="E8" s="15" t="n">
        <v>46290</v>
      </c>
      <c r="F8" s="14" t="s">
        <v>178</v>
      </c>
      <c r="G8" s="14" t="s">
        <v>171</v>
      </c>
    </row>
    <row r="9" customFormat="false" ht="23.85" hidden="false" customHeight="false" outlineLevel="0" collapsed="false">
      <c r="A9" s="16" t="s">
        <v>182</v>
      </c>
      <c r="B9" s="16" t="s">
        <v>183</v>
      </c>
      <c r="C9" s="17" t="s">
        <v>184</v>
      </c>
      <c r="D9" s="17" t="s">
        <v>185</v>
      </c>
      <c r="E9" s="15" t="n">
        <v>46326</v>
      </c>
      <c r="F9" s="18" t="s">
        <v>186</v>
      </c>
      <c r="G9" s="14" t="s">
        <v>171</v>
      </c>
    </row>
    <row r="10" customFormat="false" ht="23.85" hidden="false" customHeight="false" outlineLevel="0" collapsed="false">
      <c r="A10" s="16" t="s">
        <v>187</v>
      </c>
      <c r="B10" s="16" t="s">
        <v>188</v>
      </c>
      <c r="C10" s="17" t="s">
        <v>189</v>
      </c>
      <c r="D10" s="17" t="s">
        <v>190</v>
      </c>
      <c r="E10" s="15" t="n">
        <v>46290</v>
      </c>
      <c r="F10" s="14" t="s">
        <v>170</v>
      </c>
      <c r="G10" s="14" t="s">
        <v>171</v>
      </c>
    </row>
    <row r="11" customFormat="false" ht="46.25" hidden="false" customHeight="false" outlineLevel="0" collapsed="false">
      <c r="A11" s="16" t="s">
        <v>191</v>
      </c>
      <c r="B11" s="16" t="s">
        <v>192</v>
      </c>
      <c r="C11" s="17" t="s">
        <v>193</v>
      </c>
      <c r="D11" s="16" t="s">
        <v>190</v>
      </c>
      <c r="E11" s="16"/>
      <c r="F11" s="18" t="s">
        <v>186</v>
      </c>
      <c r="G11" s="14" t="s">
        <v>171</v>
      </c>
    </row>
  </sheetData>
  <mergeCells count="1">
    <mergeCell ref="A1:G2"/>
  </mergeCells>
  <conditionalFormatting sqref="F11 F9">
    <cfRule type="expression" priority="2" aboveAverage="0" equalAverage="0" bottom="0" percent="0" rank="0" text="" dxfId="0">
      <formula>F9="Decidido"</formula>
    </cfRule>
    <cfRule type="expression" priority="3" aboveAverage="0" equalAverage="0" bottom="0" percent="0" rank="0" text="" dxfId="1">
      <formula>F9="Aberto"</formula>
    </cfRule>
    <cfRule type="expression" priority="4" aboveAverage="0" equalAverage="0" bottom="0" percent="0" rank="0" text="" dxfId="2">
      <formula>F9="Bloqueado"</formula>
    </cfRule>
  </conditionalFormatting>
  <dataValidations count="1">
    <dataValidation allowBlank="false" errorStyle="stop" operator="equal" showDropDown="false" showErrorMessage="false" showInputMessage="false" sqref="F9 F11" type="list">
      <formula1>"Aberto,Em análise,Decidido,Bloqueado"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36.58"/>
  </cols>
  <sheetData>
    <row r="1" customFormat="false" ht="12.8" hidden="false" customHeight="false" outlineLevel="0" collapsed="false">
      <c r="A1" s="6" t="s">
        <v>194</v>
      </c>
      <c r="B1" s="6"/>
      <c r="C1" s="6"/>
      <c r="D1" s="6"/>
      <c r="E1" s="6"/>
      <c r="F1" s="6"/>
      <c r="G1" s="6"/>
      <c r="H1" s="6"/>
    </row>
    <row r="2" customFormat="false" ht="12.8" hidden="false" customHeight="false" outlineLevel="0" collapsed="false">
      <c r="A2" s="6"/>
      <c r="B2" s="6"/>
      <c r="C2" s="6"/>
      <c r="D2" s="6"/>
      <c r="E2" s="6"/>
      <c r="F2" s="6"/>
      <c r="G2" s="6"/>
      <c r="H2" s="6"/>
    </row>
    <row r="3" customFormat="false" ht="15" hidden="false" customHeight="false" outlineLevel="0" collapsed="false"/>
    <row r="4" customFormat="false" ht="15" hidden="false" customHeight="false" outlineLevel="0" collapsed="false">
      <c r="A4" s="1" t="s">
        <v>7</v>
      </c>
      <c r="B4" s="1" t="s">
        <v>195</v>
      </c>
      <c r="C4" s="1" t="s">
        <v>196</v>
      </c>
      <c r="D4" s="1" t="s">
        <v>197</v>
      </c>
    </row>
    <row r="5" customFormat="false" ht="15" hidden="false" customHeight="false" outlineLevel="0" collapsed="false">
      <c r="A5" s="1" t="s">
        <v>26</v>
      </c>
      <c r="B5" s="1" t="n">
        <v>3</v>
      </c>
      <c r="C5" s="1" t="n">
        <v>3</v>
      </c>
      <c r="D5" s="1" t="n">
        <f aca="false">C5</f>
        <v>3</v>
      </c>
    </row>
    <row r="6" customFormat="false" ht="15" hidden="false" customHeight="false" outlineLevel="0" collapsed="false">
      <c r="A6" s="1" t="s">
        <v>38</v>
      </c>
      <c r="B6" s="1" t="n">
        <v>10</v>
      </c>
      <c r="C6" s="1" t="n">
        <v>10</v>
      </c>
      <c r="D6" s="1" t="n">
        <f aca="false">D5+C6</f>
        <v>13</v>
      </c>
    </row>
    <row r="7" customFormat="false" ht="15" hidden="false" customHeight="false" outlineLevel="0" collapsed="false">
      <c r="A7" s="1" t="s">
        <v>57</v>
      </c>
      <c r="B7" s="1" t="n">
        <v>14</v>
      </c>
      <c r="C7" s="1" t="n">
        <v>14</v>
      </c>
      <c r="D7" s="1" t="n">
        <f aca="false">D6+C7</f>
        <v>27</v>
      </c>
    </row>
    <row r="8" customFormat="false" ht="15" hidden="false" customHeight="false" outlineLevel="0" collapsed="false">
      <c r="A8" s="1" t="s">
        <v>97</v>
      </c>
      <c r="B8" s="1" t="n">
        <v>12</v>
      </c>
      <c r="C8" s="1" t="n">
        <v>12</v>
      </c>
      <c r="D8" s="1" t="n">
        <f aca="false">D7+C8</f>
        <v>39</v>
      </c>
    </row>
    <row r="9" customFormat="false" ht="15" hidden="false" customHeight="false" outlineLevel="0" collapsed="false">
      <c r="A9" s="1" t="s">
        <v>125</v>
      </c>
      <c r="B9" s="1" t="n">
        <v>10</v>
      </c>
      <c r="C9" s="1" t="n">
        <v>10</v>
      </c>
      <c r="D9" s="1" t="n">
        <f aca="false">D8+C9</f>
        <v>49</v>
      </c>
    </row>
    <row r="10" customFormat="false" ht="15" hidden="false" customHeight="false" outlineLevel="0" collapsed="false">
      <c r="A10" s="1" t="s">
        <v>140</v>
      </c>
      <c r="B10" s="1" t="n">
        <v>10</v>
      </c>
      <c r="C10" s="1" t="n">
        <v>10</v>
      </c>
      <c r="D10" s="1" t="n">
        <f aca="false">D9+C10</f>
        <v>59</v>
      </c>
    </row>
    <row r="11" customFormat="false" ht="15" hidden="false" customHeight="false" outlineLevel="0" collapsed="false">
      <c r="A11" s="1" t="s">
        <v>160</v>
      </c>
      <c r="B11" s="1" t="n">
        <v>8</v>
      </c>
      <c r="D11" s="1" t="n">
        <f aca="false">D10+C11</f>
        <v>59</v>
      </c>
    </row>
    <row r="12" customFormat="false" ht="15" hidden="false" customHeight="false" outlineLevel="0" collapsed="false">
      <c r="A12" s="1" t="s">
        <v>198</v>
      </c>
      <c r="B12" s="1" t="n">
        <v>16</v>
      </c>
      <c r="D12" s="1" t="n">
        <f aca="false">D11+C12</f>
        <v>59</v>
      </c>
    </row>
    <row r="13" customFormat="false" ht="15" hidden="false" customHeight="false" outlineLevel="0" collapsed="false">
      <c r="A13" s="1" t="s">
        <v>199</v>
      </c>
      <c r="B13" s="1" t="n">
        <v>6</v>
      </c>
      <c r="D13" s="1" t="n">
        <f aca="false">D12+C13</f>
        <v>59</v>
      </c>
    </row>
    <row r="14" customFormat="false" ht="15" hidden="false" customHeight="false" outlineLevel="0" collapsed="false">
      <c r="A14" s="1" t="s">
        <v>200</v>
      </c>
      <c r="B14" s="1" t="n">
        <v>8</v>
      </c>
      <c r="D14" s="1" t="n">
        <f aca="false">D13+C14</f>
        <v>59</v>
      </c>
    </row>
    <row r="15" customFormat="false" ht="15" hidden="false" customHeight="false" outlineLevel="0" collapsed="false">
      <c r="A15" s="1" t="s">
        <v>201</v>
      </c>
      <c r="B15" s="1" t="n">
        <v>4</v>
      </c>
      <c r="D15" s="1" t="n">
        <f aca="false">D14+C15</f>
        <v>59</v>
      </c>
    </row>
  </sheetData>
  <mergeCells count="1">
    <mergeCell ref="A1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H7" activeCellId="0" sqref="H7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2" min="2" style="1" width="40"/>
    <col collapsed="false" customWidth="true" hidden="false" outlineLevel="0" max="3" min="3" style="1" width="101.01"/>
    <col collapsed="false" customWidth="true" hidden="false" outlineLevel="0" max="4" min="4" style="1" width="25.94"/>
    <col collapsed="false" customWidth="true" hidden="false" outlineLevel="0" max="6" min="6" style="1" width="75.44"/>
    <col collapsed="false" customWidth="true" hidden="false" outlineLevel="0" max="8" min="8" style="1" width="26.83"/>
  </cols>
  <sheetData>
    <row r="1" customFormat="false" ht="15" hidden="false" customHeight="false" outlineLevel="0" collapsed="false">
      <c r="A1" s="1" t="s">
        <v>202</v>
      </c>
    </row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>
      <c r="A4" s="10" t="s">
        <v>20</v>
      </c>
      <c r="B4" s="10" t="s">
        <v>203</v>
      </c>
      <c r="C4" s="10" t="s">
        <v>204</v>
      </c>
      <c r="D4" s="10" t="s">
        <v>165</v>
      </c>
      <c r="E4" s="10" t="s">
        <v>205</v>
      </c>
      <c r="F4" s="10" t="s">
        <v>206</v>
      </c>
      <c r="G4" s="10" t="s">
        <v>23</v>
      </c>
      <c r="H4" s="10" t="s">
        <v>11</v>
      </c>
      <c r="I4" s="19"/>
    </row>
    <row r="5" customFormat="false" ht="15" hidden="false" customHeight="false" outlineLevel="0" collapsed="false">
      <c r="A5" s="1" t="s">
        <v>207</v>
      </c>
      <c r="B5" s="1" t="s">
        <v>208</v>
      </c>
      <c r="C5" s="1" t="s">
        <v>209</v>
      </c>
      <c r="D5" s="1" t="s">
        <v>171</v>
      </c>
      <c r="E5" s="1" t="s">
        <v>210</v>
      </c>
      <c r="F5" s="1" t="s">
        <v>211</v>
      </c>
      <c r="G5" s="1" t="s">
        <v>212</v>
      </c>
      <c r="H5" s="1" t="s">
        <v>170</v>
      </c>
    </row>
    <row r="6" customFormat="false" ht="15" hidden="false" customHeight="false" outlineLevel="0" collapsed="false">
      <c r="A6" s="1" t="s">
        <v>213</v>
      </c>
      <c r="B6" s="1" t="s">
        <v>214</v>
      </c>
      <c r="C6" s="1" t="s">
        <v>215</v>
      </c>
      <c r="D6" s="1" t="s">
        <v>171</v>
      </c>
      <c r="E6" s="1" t="s">
        <v>210</v>
      </c>
      <c r="F6" s="1" t="s">
        <v>216</v>
      </c>
      <c r="G6" s="1" t="s">
        <v>212</v>
      </c>
      <c r="H6" s="1" t="s">
        <v>170</v>
      </c>
    </row>
    <row r="7" customFormat="false" ht="15" hidden="false" customHeight="false" outlineLevel="0" collapsed="false">
      <c r="A7" s="1" t="s">
        <v>217</v>
      </c>
      <c r="B7" s="1" t="s">
        <v>218</v>
      </c>
      <c r="C7" s="1" t="s">
        <v>219</v>
      </c>
      <c r="D7" s="1" t="s">
        <v>171</v>
      </c>
      <c r="E7" s="1" t="s">
        <v>210</v>
      </c>
      <c r="F7" s="1" t="s">
        <v>216</v>
      </c>
      <c r="G7" s="1" t="s">
        <v>212</v>
      </c>
      <c r="H7" s="1" t="s">
        <v>220</v>
      </c>
    </row>
    <row r="8" customFormat="false" ht="15" hidden="false" customHeight="false" outlineLevel="0" collapsed="false">
      <c r="A8" s="1" t="s">
        <v>221</v>
      </c>
      <c r="B8" s="1" t="s">
        <v>222</v>
      </c>
      <c r="C8" s="1" t="s">
        <v>223</v>
      </c>
      <c r="D8" s="1" t="s">
        <v>171</v>
      </c>
      <c r="E8" s="1" t="s">
        <v>210</v>
      </c>
      <c r="F8" s="1" t="s">
        <v>224</v>
      </c>
      <c r="G8" s="1" t="s">
        <v>212</v>
      </c>
      <c r="H8" s="1" t="s">
        <v>220</v>
      </c>
    </row>
    <row r="9" customFormat="false" ht="15" hidden="false" customHeight="false" outlineLevel="0" collapsed="false">
      <c r="A9" s="1" t="s">
        <v>225</v>
      </c>
      <c r="B9" s="1" t="s">
        <v>226</v>
      </c>
      <c r="C9" s="1" t="s">
        <v>227</v>
      </c>
      <c r="D9" s="1" t="s">
        <v>228</v>
      </c>
      <c r="E9" s="1" t="s">
        <v>229</v>
      </c>
      <c r="F9" s="1" t="s">
        <v>230</v>
      </c>
      <c r="G9" s="1" t="s">
        <v>231</v>
      </c>
      <c r="H9" s="1" t="s">
        <v>220</v>
      </c>
    </row>
    <row r="10" customFormat="false" ht="15" hidden="false" customHeight="false" outlineLevel="0" collapsed="false">
      <c r="A10" s="1" t="s">
        <v>232</v>
      </c>
      <c r="B10" s="1" t="s">
        <v>233</v>
      </c>
      <c r="C10" s="1" t="s">
        <v>234</v>
      </c>
      <c r="D10" s="1" t="s">
        <v>171</v>
      </c>
      <c r="E10" s="1" t="s">
        <v>210</v>
      </c>
      <c r="F10" s="1" t="s">
        <v>235</v>
      </c>
      <c r="G10" s="1" t="s">
        <v>231</v>
      </c>
      <c r="H10" s="1" t="s">
        <v>220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D2" colorId="64" zoomScale="100" zoomScaleNormal="100" zoomScalePageLayoutView="100" workbookViewId="0">
      <selection pane="topLeft" activeCell="F9" activeCellId="0" sqref="F9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7.21"/>
    <col collapsed="false" customWidth="true" hidden="false" outlineLevel="0" max="2" min="2" style="1" width="30.26"/>
    <col collapsed="false" customWidth="true" hidden="false" outlineLevel="0" max="3" min="3" style="1" width="34.3"/>
    <col collapsed="false" customWidth="true" hidden="false" outlineLevel="0" max="4" min="4" style="1" width="45.31"/>
    <col collapsed="false" customWidth="true" hidden="false" outlineLevel="0" max="5" min="5" style="1" width="42.65"/>
    <col collapsed="false" customWidth="true" hidden="false" outlineLevel="0" max="6" min="6" style="1" width="49.62"/>
    <col collapsed="false" customWidth="true" hidden="false" outlineLevel="0" max="7" min="7" style="1" width="19.87"/>
    <col collapsed="false" customWidth="true" hidden="false" outlineLevel="0" max="8" min="8" style="1" width="43.42"/>
  </cols>
  <sheetData>
    <row r="1" customFormat="false" ht="15" hidden="false" customHeight="false" outlineLevel="0" collapsed="false">
      <c r="A1" s="20" t="s">
        <v>236</v>
      </c>
    </row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>
      <c r="A4" s="21" t="s">
        <v>237</v>
      </c>
      <c r="B4" s="22" t="s">
        <v>20</v>
      </c>
      <c r="C4" s="22" t="s">
        <v>238</v>
      </c>
      <c r="D4" s="22" t="s">
        <v>204</v>
      </c>
      <c r="E4" s="22" t="s">
        <v>239</v>
      </c>
      <c r="F4" s="22" t="s">
        <v>11</v>
      </c>
      <c r="G4" s="22" t="s">
        <v>240</v>
      </c>
      <c r="H4" s="1" t="s">
        <v>241</v>
      </c>
    </row>
    <row r="5" customFormat="false" ht="15" hidden="false" customHeight="false" outlineLevel="0" collapsed="false">
      <c r="A5" s="23" t="n">
        <v>1</v>
      </c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</row>
    <row r="6" customFormat="false" ht="15" hidden="false" customHeight="false" outlineLevel="0" collapsed="false">
      <c r="A6" s="23" t="n">
        <v>2</v>
      </c>
      <c r="B6" s="14" t="s">
        <v>248</v>
      </c>
      <c r="C6" s="14" t="s">
        <v>249</v>
      </c>
      <c r="D6" s="14" t="s">
        <v>250</v>
      </c>
      <c r="E6" s="14" t="s">
        <v>251</v>
      </c>
      <c r="F6" s="14" t="s">
        <v>246</v>
      </c>
      <c r="G6" s="14" t="s">
        <v>247</v>
      </c>
    </row>
    <row r="7" customFormat="false" ht="15" hidden="false" customHeight="false" outlineLevel="0" collapsed="false">
      <c r="A7" s="23" t="n">
        <v>3</v>
      </c>
      <c r="B7" s="14" t="s">
        <v>252</v>
      </c>
      <c r="C7" s="14" t="s">
        <v>253</v>
      </c>
      <c r="D7" s="14" t="s">
        <v>254</v>
      </c>
      <c r="E7" s="14" t="s">
        <v>255</v>
      </c>
      <c r="F7" s="14" t="s">
        <v>246</v>
      </c>
      <c r="G7" s="14" t="s">
        <v>247</v>
      </c>
    </row>
    <row r="8" customFormat="false" ht="15" hidden="false" customHeight="false" outlineLevel="0" collapsed="false">
      <c r="A8" s="23" t="n">
        <v>4</v>
      </c>
      <c r="B8" s="14" t="s">
        <v>256</v>
      </c>
      <c r="C8" s="14" t="s">
        <v>257</v>
      </c>
      <c r="D8" s="14" t="s">
        <v>258</v>
      </c>
      <c r="E8" s="14" t="s">
        <v>259</v>
      </c>
      <c r="F8" s="14" t="s">
        <v>246</v>
      </c>
      <c r="G8" s="14" t="s">
        <v>247</v>
      </c>
    </row>
    <row r="9" customFormat="false" ht="15" hidden="false" customHeight="false" outlineLevel="0" collapsed="false">
      <c r="A9" s="23" t="n">
        <v>5</v>
      </c>
      <c r="B9" s="14" t="s">
        <v>260</v>
      </c>
      <c r="C9" s="14" t="s">
        <v>261</v>
      </c>
      <c r="D9" s="14" t="s">
        <v>262</v>
      </c>
      <c r="E9" s="14" t="s">
        <v>263</v>
      </c>
      <c r="F9" s="14" t="s">
        <v>264</v>
      </c>
      <c r="G9" s="14" t="s">
        <v>247</v>
      </c>
    </row>
    <row r="10" customFormat="false" ht="15" hidden="false" customHeight="false" outlineLevel="0" collapsed="false">
      <c r="A10" s="23" t="n">
        <v>6</v>
      </c>
      <c r="B10" s="14" t="s">
        <v>265</v>
      </c>
      <c r="C10" s="14" t="s">
        <v>266</v>
      </c>
      <c r="D10" s="14" t="s">
        <v>267</v>
      </c>
      <c r="E10" s="14" t="s">
        <v>268</v>
      </c>
      <c r="F10" s="14" t="s">
        <v>264</v>
      </c>
      <c r="G10" s="14" t="s">
        <v>247</v>
      </c>
    </row>
    <row r="11" customFormat="false" ht="15" hidden="false" customHeight="false" outlineLevel="0" collapsed="false">
      <c r="A11" s="8" t="n">
        <v>7</v>
      </c>
      <c r="B11" s="24" t="s">
        <v>269</v>
      </c>
      <c r="C11" s="24" t="s">
        <v>269</v>
      </c>
      <c r="D11" s="24" t="s">
        <v>269</v>
      </c>
      <c r="F11" s="1" t="s">
        <v>264</v>
      </c>
      <c r="G11" s="14" t="s">
        <v>270</v>
      </c>
    </row>
    <row r="12" customFormat="false" ht="15" hidden="false" customHeight="false" outlineLevel="0" collapsed="false">
      <c r="A12" s="8" t="n">
        <v>8</v>
      </c>
      <c r="B12" s="24" t="s">
        <v>271</v>
      </c>
      <c r="C12" s="24" t="s">
        <v>271</v>
      </c>
      <c r="D12" s="24" t="s">
        <v>271</v>
      </c>
      <c r="F12" s="1" t="s">
        <v>272</v>
      </c>
      <c r="G12" s="14" t="s">
        <v>270</v>
      </c>
    </row>
    <row r="13" customFormat="false" ht="15" hidden="false" customHeight="false" outlineLevel="0" collapsed="false">
      <c r="A13" s="8" t="n">
        <v>9</v>
      </c>
      <c r="B13" s="24" t="s">
        <v>273</v>
      </c>
      <c r="C13" s="24" t="s">
        <v>273</v>
      </c>
      <c r="D13" s="24" t="s">
        <v>273</v>
      </c>
      <c r="F13" s="1" t="s">
        <v>274</v>
      </c>
      <c r="G13" s="14" t="s">
        <v>270</v>
      </c>
    </row>
    <row r="14" customFormat="false" ht="15" hidden="false" customHeight="false" outlineLevel="0" collapsed="false">
      <c r="A14" s="23" t="n">
        <v>10</v>
      </c>
      <c r="B14" s="14" t="s">
        <v>275</v>
      </c>
      <c r="C14" s="14" t="s">
        <v>276</v>
      </c>
      <c r="D14" s="14" t="s">
        <v>277</v>
      </c>
      <c r="E14" s="14" t="s">
        <v>278</v>
      </c>
      <c r="F14" s="14" t="s">
        <v>264</v>
      </c>
      <c r="G14" s="14" t="s">
        <v>247</v>
      </c>
    </row>
    <row r="15" customFormat="false" ht="15" hidden="false" customHeight="false" outlineLevel="0" collapsed="false">
      <c r="A15" s="23" t="n">
        <v>11</v>
      </c>
      <c r="B15" s="14" t="s">
        <v>279</v>
      </c>
      <c r="C15" s="14" t="s">
        <v>280</v>
      </c>
      <c r="D15" s="14" t="s">
        <v>281</v>
      </c>
      <c r="E15" s="14" t="s">
        <v>282</v>
      </c>
      <c r="F15" s="14" t="s">
        <v>264</v>
      </c>
      <c r="G15" s="14" t="s">
        <v>247</v>
      </c>
    </row>
    <row r="16" customFormat="false" ht="15" hidden="false" customHeight="false" outlineLevel="0" collapsed="false">
      <c r="A16" s="23" t="n">
        <v>12</v>
      </c>
      <c r="B16" s="14" t="s">
        <v>283</v>
      </c>
      <c r="C16" s="14" t="s">
        <v>284</v>
      </c>
      <c r="D16" s="14" t="s">
        <v>285</v>
      </c>
      <c r="E16" s="14" t="s">
        <v>286</v>
      </c>
      <c r="F16" s="14" t="s">
        <v>264</v>
      </c>
      <c r="G16" s="14" t="s">
        <v>247</v>
      </c>
    </row>
    <row r="17" customFormat="false" ht="15" hidden="false" customHeight="false" outlineLevel="0" collapsed="false">
      <c r="A17" s="8" t="n">
        <v>13</v>
      </c>
      <c r="B17" s="1" t="s">
        <v>287</v>
      </c>
      <c r="C17" s="1" t="s">
        <v>287</v>
      </c>
      <c r="D17" s="1" t="s">
        <v>288</v>
      </c>
      <c r="F17" s="14" t="s">
        <v>264</v>
      </c>
      <c r="G17" s="14" t="s">
        <v>289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449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2026-10-11T17:50:47Z</dcterms:modified>
  <cp:revision>98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